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6"/>
  </bookViews>
  <sheets>
    <sheet name="封面" sheetId="1" r:id="rId1"/>
    <sheet name="老板摘要" sheetId="2" r:id="rId5"/>
    <sheet name="经营概览" sheetId="3" r:id="rId6"/>
    <sheet name="利润分析" sheetId="4" r:id="rId7"/>
    <sheet name="资产负债分析" sheetId="5" r:id="rId8"/>
    <sheet name="现金流分析" sheetId="6" r:id="rId9"/>
    <sheet name="关键指标" sheetId="7" r:id="rId10"/>
    <sheet name="风险与建议" sheetId="8" r:id="rId11"/>
    <sheet name="追问支持" sheetId="9" r:id="rId12"/>
    <sheet name="关键指标总览" sheetId="10" r:id="rId13"/>
    <sheet name="财务经营Dashboard" sheetId="11" r:id="rId14"/>
    <sheet name="深度分析报告" sheetId="12" r:id="rId15"/>
    <sheet name="数据与计算审核报告" sheetId="13" r:id="rId16"/>
    <sheet name="关键数据溯源摘要" sheetId="14" r:id="rId17"/>
    <sheet name="限制事项与下一步" sheetId="15" r:id="rId18"/>
    <sheet name="利润表-2025Q1" sheetId="16" r:id="rId19"/>
    <sheet name="资产负债表-2025Q1" sheetId="17" r:id="rId20"/>
    <sheet name="现金流量表-2025Q1" sheetId="18" r:id="rId21"/>
    <sheet name="利润表-2025Q2" sheetId="19" r:id="rId22"/>
    <sheet name="资产负债表-2025Q2" sheetId="20" r:id="rId23"/>
    <sheet name="现金流量表-2025Q2" sheetId="21" r:id="rId24"/>
    <sheet name="利润表-2025Q3" sheetId="22" r:id="rId25"/>
    <sheet name="资产负债表-2025Q3" sheetId="23" r:id="rId26"/>
    <sheet name="现金流量表-2025Q3" sheetId="24" r:id="rId27"/>
    <sheet name="利润表-2025Q4" sheetId="25" r:id="rId28"/>
    <sheet name="资产负债表-2025Q4" sheetId="26" r:id="rId29"/>
    <sheet name="现金流量表-2025Q4" sheetId="27" r:id="rId30"/>
  </sheets>
  <calcPr calcId="122211"/>
</workbook>
</file>

<file path=xl/sharedStrings.xml><?xml version="1.0" encoding="utf-8"?>
<sst xmlns="http://schemas.openxmlformats.org/spreadsheetml/2006/main" count="640" uniqueCount="640">
  <si>
    <t>项目</t>
  </si>
  <si>
    <t>内容</t>
  </si>
  <si>
    <t>辅助项目</t>
  </si>
  <si>
    <t>辅助内容</t>
  </si>
  <si>
    <t>公司</t>
  </si>
  <si>
    <t>上海云棱智能科技有限公司</t>
  </si>
  <si>
    <t>报告期间</t>
  </si>
  <si>
    <t>2025年Q1-Q4</t>
  </si>
  <si>
    <t>报告名称</t>
  </si>
  <si>
    <t>上海云棱智能科技有限公司 财报与经营分析</t>
  </si>
  <si>
    <t>报告模板</t>
  </si>
  <si>
    <t>老板审阅 + 可追溯公式版</t>
  </si>
  <si>
    <t>数据口径</t>
  </si>
  <si>
    <t>利润表/现金流量表按单季与累计拆分，资产负债表按期末余额；报告层统一换算为万元。</t>
  </si>
  <si>
    <t>金额单位</t>
  </si>
  <si>
    <t>人民币万元</t>
  </si>
  <si>
    <t>核心结论</t>
  </si>
  <si>
    <t>全年营收 550.00 万元、净利润 98.52 万元，净利率 17.91%，收入与利润同步上行。</t>
  </si>
  <si>
    <t>现金质量</t>
  </si>
  <si>
    <t>经营现金流累计 110.50 万元，OCF/净利润（累计）112.16%，现金质量总体较好。</t>
  </si>
  <si>
    <t>报告用途</t>
  </si>
  <si>
    <t>老板审阅 / 财务经营复盘</t>
  </si>
  <si>
    <t>生成日期</t>
  </si>
  <si>
    <t>限制事项</t>
  </si>
  <si>
    <t>经营明细、预算、同行对标未提供；经营分析仅能基于三表做代理判断。</t>
  </si>
  <si>
    <t>数据性质</t>
  </si>
  <si>
    <t>FIN_STMT（真实财务报表）；经营观察含有限推断</t>
  </si>
  <si>
    <t/>
  </si>
  <si>
    <t>模块</t>
  </si>
  <si>
    <t>管理层结论（事实+数字）</t>
  </si>
  <si>
    <t>决策提示（管理含义）</t>
  </si>
  <si>
    <t>总体表现</t>
  </si>
  <si>
    <t>全年收入、利润、现金均为正增长，主营扩张与盈利兑现同步。</t>
  </si>
  <si>
    <t>增长质量</t>
  </si>
  <si>
    <t>Q4 单季收入 178.00 万元，较 Q3 的 151.00 万元环比提升 17.88%。</t>
  </si>
  <si>
    <t>增速虽较 Q2/Q3 略放缓，但单季盈利率继续上行，增长质量仍偏健康。</t>
  </si>
  <si>
    <t>经营现金流持续高于净利润，利润兑现为现金的能力较好。</t>
  </si>
  <si>
    <t>偿债结构</t>
  </si>
  <si>
    <t>资产负债率由 Q1 的 46.39% 降至 Q4 的 40.90%，期末货币资金充足。</t>
  </si>
  <si>
    <t>杠杆水平改善，短中期偿债压力可控。</t>
  </si>
  <si>
    <t>管理动作</t>
  </si>
  <si>
    <t>经营数据尚未覆盖客户、产品、合同、预算与回款账龄。</t>
  </si>
  <si>
    <t>下一步优先补经营明细，验证收入增长、费用投放和回款效率的驱动关系。</t>
  </si>
  <si>
    <t>本次观察（数据事实）</t>
  </si>
  <si>
    <t>管理说明（业务含义）</t>
  </si>
  <si>
    <t>财务表现</t>
  </si>
  <si>
    <t>全年营收与净利润同增，财务主线明确。</t>
  </si>
  <si>
    <t>收入趋势</t>
  </si>
  <si>
    <t>单季收入由 Q1 98.00 万元增至 Q4 178.00 万元。</t>
  </si>
  <si>
    <t>季度规模持续抬升，说明订单或交付节奏整体向上。</t>
  </si>
  <si>
    <t>盈利趋势</t>
  </si>
  <si>
    <t>Q4 单季净利率 20.92%，全年净利率 17.91%。</t>
  </si>
  <si>
    <t>利润率逐季改善，费用扩张未吞噬利润增长。</t>
  </si>
  <si>
    <t>现金状态</t>
  </si>
  <si>
    <t>Q4 单季 OCF/净利润 102.85%，全年累计为 112.16%。</t>
  </si>
  <si>
    <t>现金创造能力强于会计利润，利润质量较好。</t>
  </si>
  <si>
    <t>费用效率</t>
  </si>
  <si>
    <t>全年销售/管理/研发费用分别为 69.70 / 144.70 / 91.50 万元。</t>
  </si>
  <si>
    <t>管理费用占比仍高，研发投入占比较高，后续要验证费用投入产出。</t>
  </si>
  <si>
    <t>经营数据说明</t>
  </si>
  <si>
    <t>当前仅有三表，未提供预算、同行、客户、产品、订单、回款账龄等经营明细。</t>
  </si>
  <si>
    <t>经营分析结论属于财务代理判断，不替代业务侧明细诊断。</t>
  </si>
  <si>
    <t>指标</t>
  </si>
  <si>
    <t>一季度</t>
  </si>
  <si>
    <t>二季度</t>
  </si>
  <si>
    <t>三季度</t>
  </si>
  <si>
    <t>四季度</t>
  </si>
  <si>
    <t>全年</t>
  </si>
  <si>
    <t>分析口径</t>
  </si>
  <si>
    <t>营业收入</t>
  </si>
  <si>
    <t>单季收入，来源于利润表本期金额；全年为 Q1-Q4 求和。</t>
  </si>
  <si>
    <t>营业成本</t>
  </si>
  <si>
    <t>单季成本，来源于利润表本期金额；全年为 Q1-Q4 求和。</t>
  </si>
  <si>
    <t>毛利</t>
  </si>
  <si>
    <t>营业收入 - 营业成本。</t>
  </si>
  <si>
    <t>毛利率</t>
  </si>
  <si>
    <t>毛利 / 营业收入。</t>
  </si>
  <si>
    <t>销售费用</t>
  </si>
  <si>
    <t>单季销售费用；全年求和。</t>
  </si>
  <si>
    <t>研发费用</t>
  </si>
  <si>
    <t>单季研发费用；全年求和。</t>
  </si>
  <si>
    <t>管理费用</t>
  </si>
  <si>
    <t>单季管理费用；全年求和。</t>
  </si>
  <si>
    <t>财务费用</t>
  </si>
  <si>
    <t>单季财务费用；全年求和。</t>
  </si>
  <si>
    <t>营业利润</t>
  </si>
  <si>
    <t>单季营业利润；全年求和。</t>
  </si>
  <si>
    <t>净利润</t>
  </si>
  <si>
    <t>单季净利润；全年求和。</t>
  </si>
  <si>
    <t>净利率</t>
  </si>
  <si>
    <t>净利润 / 营业收入。</t>
  </si>
  <si>
    <t>一季度末</t>
  </si>
  <si>
    <t>二季度末</t>
  </si>
  <si>
    <t>三季度末</t>
  </si>
  <si>
    <t>四季度末</t>
  </si>
  <si>
    <t>管理观察</t>
  </si>
  <si>
    <t>货币资金</t>
  </si>
  <si>
    <t>期末现金储备持续上升。</t>
  </si>
  <si>
    <t>应收账款</t>
  </si>
  <si>
    <t>规模同步扩大，需要持续跟踪账龄和回款速度。</t>
  </si>
  <si>
    <t>流动资产合计</t>
  </si>
  <si>
    <t>流动资产规模扩张，为增长提供周转基础。</t>
  </si>
  <si>
    <t>资产总计</t>
  </si>
  <si>
    <t>总资产逐季抬升。</t>
  </si>
  <si>
    <t>应付账款</t>
  </si>
  <si>
    <t>与业务规模扩张同步增长。</t>
  </si>
  <si>
    <t>流动负债合计</t>
  </si>
  <si>
    <t>需结合回款节奏看短债压力。</t>
  </si>
  <si>
    <t>负债合计</t>
  </si>
  <si>
    <t>整体负债绝对额上升但占比下降。</t>
  </si>
  <si>
    <t>所有者权益合计</t>
  </si>
  <si>
    <t>利润留存推动权益持续增厚。</t>
  </si>
  <si>
    <t>资产负债率</t>
  </si>
  <si>
    <t>杠杆水平逐季改善。</t>
  </si>
  <si>
    <t>Q1</t>
  </si>
  <si>
    <t>Q2</t>
  </si>
  <si>
    <t>Q3</t>
  </si>
  <si>
    <t>Q4</t>
  </si>
  <si>
    <t>全年/期末</t>
  </si>
  <si>
    <t>经营现金流</t>
  </si>
  <si>
    <t>单季经营现金流保持正值，全年累计高于净利润。</t>
  </si>
  <si>
    <t>与利润分析保持一致。</t>
  </si>
  <si>
    <t>OCF/净利润</t>
  </si>
  <si>
    <t>观察利润兑现为现金的质量。</t>
  </si>
  <si>
    <t>期末现金余额</t>
  </si>
  <si>
    <t>来自资产负债表货币资金，并与现金流期末现金勾稽。</t>
  </si>
  <si>
    <t>期末货币资金</t>
  </si>
  <si>
    <t>类型</t>
  </si>
  <si>
    <t>事项</t>
  </si>
  <si>
    <t>判断</t>
  </si>
  <si>
    <t>建议</t>
  </si>
  <si>
    <t>数据范围</t>
  </si>
  <si>
    <t>当前仅有三表，经营侧明细和预算未提供。</t>
  </si>
  <si>
    <t>经营分析深度受限。</t>
  </si>
  <si>
    <t>补充客户/产品/合同/预算/账龄后再做驱动拆解。</t>
  </si>
  <si>
    <t>利润质量</t>
  </si>
  <si>
    <t>全年净利率 17.91%，Q4 单季净利率 20.92%。</t>
  </si>
  <si>
    <t>盈利能力改善。</t>
  </si>
  <si>
    <t>继续跟踪毛利率与费用率拐点，防止增长换利润。</t>
  </si>
  <si>
    <t>全年 OCF/净利润 112.16%。</t>
  </si>
  <si>
    <t>现金质量较好。</t>
  </si>
  <si>
    <t>保持回款节奏，避免应收继续快于收入扩张。</t>
  </si>
  <si>
    <t>资产负债率由 46.39% 降至 40.90%。</t>
  </si>
  <si>
    <t>偿债结构改善。</t>
  </si>
  <si>
    <t>关注流动负债与货币资金的匹配及中长期资金安排。</t>
  </si>
  <si>
    <t>管理跟进</t>
  </si>
  <si>
    <t>Q4 期末应收账款 51.00 万元，较 Q1 的 33.00 万元明显上升。</t>
  </si>
  <si>
    <t>规模扩张伴随营运资金占用上升。</t>
  </si>
  <si>
    <t>建立回款和账龄跟踪台账，验证增长的现金含量。</t>
  </si>
  <si>
    <t>可追问主题</t>
  </si>
  <si>
    <t>可追溯依据</t>
  </si>
  <si>
    <t>可下钻字段</t>
  </si>
  <si>
    <t>需要补充资料</t>
  </si>
  <si>
    <t>收入与利润趋势</t>
  </si>
  <si>
    <t>利润表-2025Q1~Q4 本期金额 + 利润分析公式区</t>
  </si>
  <si>
    <t>分季度收入、成本、净利润</t>
  </si>
  <si>
    <t>订单、客户、产品、地区收入结构</t>
  </si>
  <si>
    <t>费用结构</t>
  </si>
  <si>
    <t>利润表-2025Q1~Q4 销售/研发/管理/财务费用</t>
  </si>
  <si>
    <t>费用分季度、费用率</t>
  </si>
  <si>
    <t>费用明细台账、预算口径</t>
  </si>
  <si>
    <t>资产和偿债能力</t>
  </si>
  <si>
    <t>资产负债表-2025Q1~Q4 资产总计/负债合计/权益</t>
  </si>
  <si>
    <t>债务结构、营运资金</t>
  </si>
  <si>
    <t>借款结构、账龄、供应商付款周期</t>
  </si>
  <si>
    <t>现金流质量</t>
  </si>
  <si>
    <t>现金流量表-2025Q1~Q4 经营现金流、期末现金余额</t>
  </si>
  <si>
    <t>单季/累计 OCF、现金勾稽</t>
  </si>
  <si>
    <t>回款明细、收支预测</t>
  </si>
  <si>
    <t>经营数据缺口</t>
  </si>
  <si>
    <t>封面/经营概览/限制事项</t>
  </si>
  <si>
    <t>预算、同行、业务明细</t>
  </si>
  <si>
    <t>预算、同行对标、经营 KPI 明细</t>
  </si>
  <si>
    <t>口径 / 说明</t>
  </si>
  <si>
    <t>营业收入（万元，累计）</t>
  </si>
  <si>
    <t>累计值；全年口径使用 Q4 本年累计</t>
  </si>
  <si>
    <t>营业收入（单季，万元）</t>
  </si>
  <si>
    <t>单季金额；用于环比和季度趋势</t>
  </si>
  <si>
    <t>单季营收环比</t>
  </si>
  <si>
    <t>仅使用单季收入计算，不使用累计收入</t>
  </si>
  <si>
    <t>毛利率（累计）</t>
  </si>
  <si>
    <t>毛利 / 营收；累计口径</t>
  </si>
  <si>
    <t>净利率（累计）</t>
  </si>
  <si>
    <t>净利润 / 营收；累计口径</t>
  </si>
  <si>
    <t>营业利润（万元，累计）</t>
  </si>
  <si>
    <t>利润表本年累计金额</t>
  </si>
  <si>
    <t>净利润（万元，累计）</t>
  </si>
  <si>
    <t>经营现金流（累计，万元）</t>
  </si>
  <si>
    <t>现金流量表本年累计金额</t>
  </si>
  <si>
    <t>OCF / 净利润（单季）</t>
  </si>
  <si>
    <t>经营现金流单季 / 净利润单季</t>
  </si>
  <si>
    <t>OCF / 净利润（累计）</t>
  </si>
  <si>
    <t>经营现金流累计 / 净利润累计</t>
  </si>
  <si>
    <t>期末货币资金（万元）</t>
  </si>
  <si>
    <t>资产负债表期末数；应与现金流期末现金勾稽</t>
  </si>
  <si>
    <t>资产总计（万元）</t>
  </si>
  <si>
    <t>资产负债表期末数</t>
  </si>
  <si>
    <t>资产负债率（期末）</t>
  </si>
  <si>
    <t>负债合计 / 资产总计</t>
  </si>
  <si>
    <t>应收账款（万元，期末）</t>
  </si>
  <si>
    <t>研发费用（万元，累计）</t>
  </si>
  <si>
    <t>利润表本年累计金额；研究费用映射为研发费用</t>
  </si>
  <si>
    <t>数据事实</t>
  </si>
  <si>
    <t>管理判断</t>
  </si>
  <si>
    <t>建议动作</t>
  </si>
  <si>
    <t>收入增长与规模扩张</t>
  </si>
  <si>
    <t>全年营收 550.00 万元，Q1→Q4 单季收入持续增长。</t>
  </si>
  <si>
    <t>公司 2025 年处于扩张周期，收入增长具有连续性。</t>
  </si>
  <si>
    <t>继续拆分客户、产品、交付节奏，验证增长来源是否均衡。</t>
  </si>
  <si>
    <t>盈利能力与费用吸收</t>
  </si>
  <si>
    <t>全年毛利率 76.67%，全年净利率 17.91%。</t>
  </si>
  <si>
    <t>毛利率略有回落但净利率上行，说明费用吸收和规模效应在改善。</t>
  </si>
  <si>
    <t>重点盯管理费用与研发费用投入产出比。</t>
  </si>
  <si>
    <t>现金质量与利润兑现</t>
  </si>
  <si>
    <t>全年经营现金流 110.50 万元，高于净利润 98.52 万元。</t>
  </si>
  <si>
    <t>现金流覆盖利润，利润质量较高。</t>
  </si>
  <si>
    <t>保持回款和支出纪律，防止扩张期现金消耗转弱。</t>
  </si>
  <si>
    <t>资产结构与偿债能力</t>
  </si>
  <si>
    <t>Q4 货币资金 133.90 万元，资产负债率 40.90%。</t>
  </si>
  <si>
    <t>账面流动性较稳，杠杆下降提升抗风险能力。</t>
  </si>
  <si>
    <t>补充借款结构和现金预测，确认中长期资金安排。</t>
  </si>
  <si>
    <t>营运资金与回款压力</t>
  </si>
  <si>
    <t>应收账款从 Q1 的 33.00 万元增至 Q4 的 51.00 万元。</t>
  </si>
  <si>
    <t>收入扩张带来营运资金占用上升，后续要验证回款质量。</t>
  </si>
  <si>
    <t>补账龄、回款和坏账准备数据。</t>
  </si>
  <si>
    <t>经营分析边界</t>
  </si>
  <si>
    <t>未提供客户、订单、产品、区域、预算、同行等经营明细。</t>
  </si>
  <si>
    <t>当前经营结论仅能依据三表做代理判断。</t>
  </si>
  <si>
    <t>补经营底稿后再做经营驱动分析与预算偏差分析。</t>
  </si>
  <si>
    <t>检查项</t>
  </si>
  <si>
    <t>结论</t>
  </si>
  <si>
    <t>说明</t>
  </si>
  <si>
    <t>数据来源核验</t>
  </si>
  <si>
    <t>PASS</t>
  </si>
  <si>
    <t>共识别 12 份正式财务报表文件，覆盖 2025 年 Q1-Q4 的利润表、资产负债表、现金流量表。</t>
  </si>
  <si>
    <t>公司一致性</t>
  </si>
  <si>
    <t>解析公司名为 上海云棱智能科技有限公司，与任务对象一致。</t>
  </si>
  <si>
    <t>金额单位统一</t>
  </si>
  <si>
    <t>原始文件均为元，报告层统一换算为万元，比例指标保持小数口径。</t>
  </si>
  <si>
    <t>三表勾稽：资产负债平衡</t>
  </si>
  <si>
    <t>Q1 资产总计与负债+权益差异 0.0 元。</t>
  </si>
  <si>
    <t>三表勾稽：期末现金一致</t>
  </si>
  <si>
    <t>Q1 资产负债表货币资金与现金流量表期末现金差异 0.0 元。</t>
  </si>
  <si>
    <t>Q2 资产总计与负债+权益差异 0.0 元。</t>
  </si>
  <si>
    <t>Q2 资产负债表货币资金与现金流量表期末现金差异 0.0 元。</t>
  </si>
  <si>
    <t>Q3 资产总计与负债+权益差异 0.0 元。</t>
  </si>
  <si>
    <t>Q3 资产负债表货币资金与现金流量表期末现金差异 0.0 元。</t>
  </si>
  <si>
    <t>Q4 资产总计与负债+权益差异 0.0 元。</t>
  </si>
  <si>
    <t>Q4 资产负债表货币资金与现金流量表期末现金差异 0.0 元。</t>
  </si>
  <si>
    <t>经营数据完整性</t>
  </si>
  <si>
    <t>WARN</t>
  </si>
  <si>
    <t>未提供预算、同行、客户、产品、订单、账龄等经营明细，经营分析只能基于三表做代理判断。</t>
  </si>
  <si>
    <t>审核结论</t>
  </si>
  <si>
    <t>PASS_WITH_WARNINGS</t>
  </si>
  <si>
    <t>财务口径、勾稽关系和公式链条可交付；经营驱动分析需补数据后深化。</t>
  </si>
  <si>
    <t>季度</t>
  </si>
  <si>
    <t>口径</t>
  </si>
  <si>
    <t>单位</t>
  </si>
  <si>
    <t>公式</t>
  </si>
  <si>
    <t>来源</t>
  </si>
  <si>
    <t>单季</t>
  </si>
  <si>
    <t>万元</t>
  </si>
  <si>
    <t>利润表-2025Q4 / 一、营业收入 / 上海云棱智能科技有限公司-利润表-2025年Q4.xlsx / 利润表2025年第4季度 / A4:D4</t>
  </si>
  <si>
    <t>Q1-Q4 单季求和</t>
  </si>
  <si>
    <t>利润分析!B2:E2；来源于 Q1-Q4 利润表本期金额</t>
  </si>
  <si>
    <t>利润表-2025Q4 / 四、净利润 / 上海云棱智能科技有限公司-利润表-2025年Q4.xlsx / 利润表2025年第4季度 / A35:D35</t>
  </si>
  <si>
    <t>利润分析!B11:E11；来源于 Q1-Q4 利润表本期金额</t>
  </si>
  <si>
    <t>累计</t>
  </si>
  <si>
    <t>现金流量表-2025Q4 / 经营活动产生的现金流量净额 / 上海云棱智能科技有限公司-现金流量表-2025年Q4.xlsx / 现金流量表2025年4季度 / A11:D11</t>
  </si>
  <si>
    <t>期末</t>
  </si>
  <si>
    <t>资产负债表-2025Q4 / 货币资金 / 上海云棱智能科技有限公司-资产负债表-2025年Q4.xlsx / 资产负债表2025年12期 / A5:D5</t>
  </si>
  <si>
    <t>资产负债表-2025Q4 / 资产总计 / 上海云棱智能科技有限公司-资产负债表-2025年Q4.xlsx / 资产负债表2025年12期 / A35:D35</t>
  </si>
  <si>
    <t>%</t>
  </si>
  <si>
    <t>资产负债分析!D8 / D5；上游来自 Q4 资产负债表负债合计与资产总计</t>
  </si>
  <si>
    <t>利润表-2025Q4 / 研发费用 / 上海云棱智能科技有限公司-利润表-2025年Q4.xlsx / 利润表2025年第4季度 / A20:D20</t>
  </si>
  <si>
    <t>资产负债表-2025Q4 / 应收账款 / 上海云棱智能科技有限公司-资产负债表-2025年Q4.xlsx / 资产负债表2025年12期 / A8:D8</t>
  </si>
  <si>
    <t>当前未提供预算、同行、客户、产品、订单、合同、回款账龄等经营数据，本次经营分析仅基于三表数据。</t>
  </si>
  <si>
    <t>下一步 1</t>
  </si>
  <si>
    <t>补预算和目标值，新增预算偏差分析。</t>
  </si>
  <si>
    <t>下一步 2</t>
  </si>
  <si>
    <t>补客户/产品/订单/账龄，新增经营驱动分析页。</t>
  </si>
  <si>
    <t>下一步 3</t>
  </si>
  <si>
    <t>补同行或行业基准，新增对标分析与风险分层。</t>
  </si>
  <si>
    <t>利润表</t>
  </si>
  <si>
    <t>编制单位：上海云棱智能科技有限公司</t>
  </si>
  <si>
    <t>2025年第1季度</t>
  </si>
  <si>
    <t>单位：元</t>
  </si>
  <si>
    <t>行次</t>
  </si>
  <si>
    <t>本年累计金额</t>
  </si>
  <si>
    <t>本期金额</t>
  </si>
  <si>
    <t>一、营业收入</t>
  </si>
  <si>
    <t>1</t>
  </si>
  <si>
    <t>980000</t>
  </si>
  <si>
    <t>减：营业成本</t>
  </si>
  <si>
    <t>2</t>
  </si>
  <si>
    <t>220000</t>
  </si>
  <si>
    <t>税金及附加</t>
  </si>
  <si>
    <t>3</t>
  </si>
  <si>
    <t>4200</t>
  </si>
  <si>
    <t>其中：消费税</t>
  </si>
  <si>
    <t>4</t>
  </si>
  <si>
    <t>营业税</t>
  </si>
  <si>
    <t>5</t>
  </si>
  <si>
    <t>城市维护建设税</t>
  </si>
  <si>
    <t>6</t>
  </si>
  <si>
    <t>资源税</t>
  </si>
  <si>
    <t>7</t>
  </si>
  <si>
    <t>土地增值税</t>
  </si>
  <si>
    <t>8</t>
  </si>
  <si>
    <t>城镇土地使用税、房产税、车船税、印花税</t>
  </si>
  <si>
    <t>9</t>
  </si>
  <si>
    <t>教育费附加、矿产资源补偿税、排污费</t>
  </si>
  <si>
    <t>10</t>
  </si>
  <si>
    <t>11</t>
  </si>
  <si>
    <t>125000</t>
  </si>
  <si>
    <t>其中：商品维修费</t>
  </si>
  <si>
    <t>12</t>
  </si>
  <si>
    <t>广告费和业务宣传费</t>
  </si>
  <si>
    <t>13</t>
  </si>
  <si>
    <t>68750</t>
  </si>
  <si>
    <t>14</t>
  </si>
  <si>
    <t>310000</t>
  </si>
  <si>
    <t>其中：开办费</t>
  </si>
  <si>
    <t>15</t>
  </si>
  <si>
    <t>业务招待费</t>
  </si>
  <si>
    <t>16</t>
  </si>
  <si>
    <t>3720</t>
  </si>
  <si>
    <t>17</t>
  </si>
  <si>
    <t>180000</t>
  </si>
  <si>
    <t>18</t>
  </si>
  <si>
    <t>3600</t>
  </si>
  <si>
    <t>其中：利息费用(收入以"-"号填列)</t>
  </si>
  <si>
    <t>19</t>
  </si>
  <si>
    <t>加：投资收益(损失以"-"号填列)</t>
  </si>
  <si>
    <t>20</t>
  </si>
  <si>
    <t>二、营业利润</t>
  </si>
  <si>
    <t>21</t>
  </si>
  <si>
    <t>137200</t>
  </si>
  <si>
    <t>加：营业外收入</t>
  </si>
  <si>
    <t>22</t>
  </si>
  <si>
    <t>12000</t>
  </si>
  <si>
    <t>其中：政府补助</t>
  </si>
  <si>
    <t>23</t>
  </si>
  <si>
    <t>减：营业外支出</t>
  </si>
  <si>
    <t>24</t>
  </si>
  <si>
    <t>其中：坏账损失</t>
  </si>
  <si>
    <t>25</t>
  </si>
  <si>
    <t>无法收回的长期债券投资损失</t>
  </si>
  <si>
    <t>26</t>
  </si>
  <si>
    <t>无法收回的长期股权投资损失</t>
  </si>
  <si>
    <t>27</t>
  </si>
  <si>
    <t>自然灾害等不可抗力因素造成的损失</t>
  </si>
  <si>
    <t>28</t>
  </si>
  <si>
    <t>税收滞纳金</t>
  </si>
  <si>
    <t>29</t>
  </si>
  <si>
    <t>三、利润总额(亏损总额以"-"号填列)</t>
  </si>
  <si>
    <t>30</t>
  </si>
  <si>
    <t>149200</t>
  </si>
  <si>
    <t>减：所得税费用</t>
  </si>
  <si>
    <t>31</t>
  </si>
  <si>
    <t>22380</t>
  </si>
  <si>
    <t>四、净利润</t>
  </si>
  <si>
    <t>32</t>
  </si>
  <si>
    <t>126820</t>
  </si>
  <si>
    <t>资产负债表</t>
  </si>
  <si>
    <t>期末余额</t>
  </si>
  <si>
    <t>年初余额</t>
  </si>
  <si>
    <t>795000</t>
  </si>
  <si>
    <t>450000</t>
  </si>
  <si>
    <t>短期借款</t>
  </si>
  <si>
    <t>短期投资</t>
  </si>
  <si>
    <t>应付票据</t>
  </si>
  <si>
    <t>应收票据</t>
  </si>
  <si>
    <t>33</t>
  </si>
  <si>
    <t>210000</t>
  </si>
  <si>
    <t>330000</t>
  </si>
  <si>
    <t>260000</t>
  </si>
  <si>
    <t>预收账款</t>
  </si>
  <si>
    <t>34</t>
  </si>
  <si>
    <t>110000</t>
  </si>
  <si>
    <t>90000</t>
  </si>
  <si>
    <t>预付账款</t>
  </si>
  <si>
    <t>80000</t>
  </si>
  <si>
    <t>应付职工薪酬</t>
  </si>
  <si>
    <t>35</t>
  </si>
  <si>
    <t>138000</t>
  </si>
  <si>
    <t>应收股利</t>
  </si>
  <si>
    <t>应交税费</t>
  </si>
  <si>
    <t>36</t>
  </si>
  <si>
    <t>41000</t>
  </si>
  <si>
    <t>35000</t>
  </si>
  <si>
    <t>应收利息</t>
  </si>
  <si>
    <t>应付利息</t>
  </si>
  <si>
    <t>37</t>
  </si>
  <si>
    <t>其他应收款</t>
  </si>
  <si>
    <t>50000</t>
  </si>
  <si>
    <t>45000</t>
  </si>
  <si>
    <t>应付利润</t>
  </si>
  <si>
    <t>38</t>
  </si>
  <si>
    <t>存货</t>
  </si>
  <si>
    <t>其他应付款</t>
  </si>
  <si>
    <t>39</t>
  </si>
  <si>
    <t>76000</t>
  </si>
  <si>
    <t>70000</t>
  </si>
  <si>
    <t>其中：原材料</t>
  </si>
  <si>
    <t>其他流动负债</t>
  </si>
  <si>
    <t>40</t>
  </si>
  <si>
    <t>在产品</t>
  </si>
  <si>
    <t>41</t>
  </si>
  <si>
    <t>575000</t>
  </si>
  <si>
    <t>库存商品</t>
  </si>
  <si>
    <t>周转材料</t>
  </si>
  <si>
    <t>长期借款</t>
  </si>
  <si>
    <t>42</t>
  </si>
  <si>
    <t>380000</t>
  </si>
  <si>
    <t>其他流动资产</t>
  </si>
  <si>
    <t>42000</t>
  </si>
  <si>
    <t>长期应付款</t>
  </si>
  <si>
    <t>43</t>
  </si>
  <si>
    <t>递延收益</t>
  </si>
  <si>
    <t>44</t>
  </si>
  <si>
    <t>48000</t>
  </si>
  <si>
    <t>其他非流动负债</t>
  </si>
  <si>
    <t>45</t>
  </si>
  <si>
    <t>长期债券投资</t>
  </si>
  <si>
    <t>非流动负债合计</t>
  </si>
  <si>
    <t>46</t>
  </si>
  <si>
    <t>428000</t>
  </si>
  <si>
    <t>长期股权投资</t>
  </si>
  <si>
    <t>47</t>
  </si>
  <si>
    <t>固定资产原价</t>
  </si>
  <si>
    <t>865000</t>
  </si>
  <si>
    <t>780000</t>
  </si>
  <si>
    <t>减：累计折旧</t>
  </si>
  <si>
    <t>238000</t>
  </si>
  <si>
    <t>固定资产账面价值</t>
  </si>
  <si>
    <t>627000</t>
  </si>
  <si>
    <t>在建工程</t>
  </si>
  <si>
    <t>工程物资</t>
  </si>
  <si>
    <t>固定资产清理</t>
  </si>
  <si>
    <t>生产性生物资产</t>
  </si>
  <si>
    <t>无形资产</t>
  </si>
  <si>
    <t>168000</t>
  </si>
  <si>
    <t>160000</t>
  </si>
  <si>
    <t>实收资本</t>
  </si>
  <si>
    <t>48</t>
  </si>
  <si>
    <t>800000</t>
  </si>
  <si>
    <t>开发支出</t>
  </si>
  <si>
    <t>资本公积</t>
  </si>
  <si>
    <t>49</t>
  </si>
  <si>
    <t>120000</t>
  </si>
  <si>
    <t>长期待摊费用</t>
  </si>
  <si>
    <t>盈余公积</t>
  </si>
  <si>
    <t>50</t>
  </si>
  <si>
    <t>40000</t>
  </si>
  <si>
    <t>其他非流动资产</t>
  </si>
  <si>
    <t>60000</t>
  </si>
  <si>
    <t>未分配利润</t>
  </si>
  <si>
    <t>51</t>
  </si>
  <si>
    <t>非流动资产合计</t>
  </si>
  <si>
    <t>855000</t>
  </si>
  <si>
    <t>52</t>
  </si>
  <si>
    <t>负债和所有者权益总计</t>
  </si>
  <si>
    <t>53</t>
  </si>
  <si>
    <t>现金流量表</t>
  </si>
  <si>
    <t>销售产成品、商品、提供劳务收到的现金</t>
  </si>
  <si>
    <t>870000</t>
  </si>
  <si>
    <t>收到其他与经营活动有关的现金</t>
  </si>
  <si>
    <t>购买原材料、商品、接受劳务支付的现金</t>
  </si>
  <si>
    <t>190000</t>
  </si>
  <si>
    <t>支付的职工薪酬</t>
  </si>
  <si>
    <t>支付的税费</t>
  </si>
  <si>
    <t>18000</t>
  </si>
  <si>
    <t>支付其他与经营活动有关的现金</t>
  </si>
  <si>
    <t>222000</t>
  </si>
  <si>
    <t>经营活动产生的现金流量净额</t>
  </si>
  <si>
    <t>收回短期投资、长期债券投资和长期股权投资收到的现金</t>
  </si>
  <si>
    <t>取得投资收益收到的现金</t>
  </si>
  <si>
    <t>处置固定资产、无形资产和其他非流动资产收回的现金净额</t>
  </si>
  <si>
    <t>短期投资、长期债券投资和长期股权投资支付的现金</t>
  </si>
  <si>
    <t>购建固定资产、无形资产和其他非流动资产支付的现金</t>
  </si>
  <si>
    <t>85000</t>
  </si>
  <si>
    <t>投资活动产生的现金流量净额</t>
  </si>
  <si>
    <t>取得借款收到的现金</t>
  </si>
  <si>
    <t>吸收投资者投资收到的现金</t>
  </si>
  <si>
    <t>250000</t>
  </si>
  <si>
    <t>偿还借款本金支付的现金</t>
  </si>
  <si>
    <t>偿还借款利息支付的现金</t>
  </si>
  <si>
    <t>分配利润支付的现金</t>
  </si>
  <si>
    <t>筹资活动产生的现金流量净额</t>
  </si>
  <si>
    <t>四、现金净增加额</t>
  </si>
  <si>
    <t>345000</t>
  </si>
  <si>
    <t>加：期初现金余额</t>
  </si>
  <si>
    <t>2025年第2季度</t>
  </si>
  <si>
    <t>495000</t>
  </si>
  <si>
    <t>275000</t>
  </si>
  <si>
    <t>9500</t>
  </si>
  <si>
    <t>5300</t>
  </si>
  <si>
    <t>283000</t>
  </si>
  <si>
    <t>158000</t>
  </si>
  <si>
    <t>155650</t>
  </si>
  <si>
    <t>86900</t>
  </si>
  <si>
    <t>655000</t>
  </si>
  <si>
    <t>7860</t>
  </si>
  <si>
    <t>4140</t>
  </si>
  <si>
    <t>395000</t>
  </si>
  <si>
    <t>215000</t>
  </si>
  <si>
    <t>7800</t>
  </si>
  <si>
    <t>364700</t>
  </si>
  <si>
    <t>227500</t>
  </si>
  <si>
    <t>20000</t>
  </si>
  <si>
    <t>8000</t>
  </si>
  <si>
    <t>384700</t>
  </si>
  <si>
    <t>235500</t>
  </si>
  <si>
    <t>57705</t>
  </si>
  <si>
    <t>35325</t>
  </si>
  <si>
    <t>326995</t>
  </si>
  <si>
    <t>200175</t>
  </si>
  <si>
    <t>916000</t>
  </si>
  <si>
    <t>245000</t>
  </si>
  <si>
    <t>390000</t>
  </si>
  <si>
    <t>135000</t>
  </si>
  <si>
    <t>95000</t>
  </si>
  <si>
    <t>162000</t>
  </si>
  <si>
    <t>56000</t>
  </si>
  <si>
    <t>52000</t>
  </si>
  <si>
    <t>82000</t>
  </si>
  <si>
    <t>680000</t>
  </si>
  <si>
    <t>425000</t>
  </si>
  <si>
    <t>960000</t>
  </si>
  <si>
    <t>270000</t>
  </si>
  <si>
    <t>690000</t>
  </si>
  <si>
    <t>175000</t>
  </si>
  <si>
    <t>62000</t>
  </si>
  <si>
    <t>927000</t>
  </si>
  <si>
    <t>65000</t>
  </si>
  <si>
    <t>235000</t>
  </si>
  <si>
    <t>386000</t>
  </si>
  <si>
    <t>716000</t>
  </si>
  <si>
    <t>24000</t>
  </si>
  <si>
    <t>383000</t>
  </si>
  <si>
    <t>605000</t>
  </si>
  <si>
    <t>402000</t>
  </si>
  <si>
    <t>6000</t>
  </si>
  <si>
    <t>244000</t>
  </si>
  <si>
    <t>121000</t>
  </si>
  <si>
    <t>466000</t>
  </si>
  <si>
    <t>2025年第3季度</t>
  </si>
  <si>
    <t>851000</t>
  </si>
  <si>
    <t>356000</t>
  </si>
  <si>
    <t>16100</t>
  </si>
  <si>
    <t>6600</t>
  </si>
  <si>
    <t>471000</t>
  </si>
  <si>
    <t>188000</t>
  </si>
  <si>
    <t>259050</t>
  </si>
  <si>
    <t>103400</t>
  </si>
  <si>
    <t>382000</t>
  </si>
  <si>
    <t>12444</t>
  </si>
  <si>
    <t>4584</t>
  </si>
  <si>
    <t>640000</t>
  </si>
  <si>
    <t>12900</t>
  </si>
  <si>
    <t>5100</t>
  </si>
  <si>
    <t>692000</t>
  </si>
  <si>
    <t>327300</t>
  </si>
  <si>
    <t>29000</t>
  </si>
  <si>
    <t>9000</t>
  </si>
  <si>
    <t>721000</t>
  </si>
  <si>
    <t>336300</t>
  </si>
  <si>
    <t>108150</t>
  </si>
  <si>
    <t>50445</t>
  </si>
  <si>
    <t>612850</t>
  </si>
  <si>
    <t>285855</t>
  </si>
  <si>
    <t>280000</t>
  </si>
  <si>
    <t>455000</t>
  </si>
  <si>
    <t>102000</t>
  </si>
  <si>
    <t>72000</t>
  </si>
  <si>
    <t>54000</t>
  </si>
  <si>
    <t>790000</t>
  </si>
  <si>
    <t>422000</t>
  </si>
  <si>
    <t>770000</t>
  </si>
  <si>
    <t>182000</t>
  </si>
  <si>
    <t>367000</t>
  </si>
  <si>
    <t>58000</t>
  </si>
  <si>
    <t>193000</t>
  </si>
  <si>
    <t>302000</t>
  </si>
  <si>
    <t>727000</t>
  </si>
  <si>
    <t>452000</t>
  </si>
  <si>
    <t>37000</t>
  </si>
  <si>
    <t>79000</t>
  </si>
  <si>
    <t>432000</t>
  </si>
  <si>
    <t>320000</t>
  </si>
  <si>
    <t>722000</t>
  </si>
  <si>
    <t>300000</t>
  </si>
  <si>
    <t>5000</t>
  </si>
  <si>
    <t>11000</t>
  </si>
  <si>
    <t>239000</t>
  </si>
  <si>
    <t>195000</t>
  </si>
  <si>
    <t>661000</t>
  </si>
  <si>
    <t>2025年第4季度</t>
  </si>
  <si>
    <t>23600</t>
  </si>
  <si>
    <t>7500</t>
  </si>
  <si>
    <t>697000</t>
  </si>
  <si>
    <t>226000</t>
  </si>
  <si>
    <t>383350</t>
  </si>
  <si>
    <t>124300</t>
  </si>
  <si>
    <t>410000</t>
  </si>
  <si>
    <t>17364</t>
  </si>
  <si>
    <t>4920</t>
  </si>
  <si>
    <t>915000</t>
  </si>
  <si>
    <t>19300</t>
  </si>
  <si>
    <t>6400</t>
  </si>
  <si>
    <t>423100</t>
  </si>
  <si>
    <t>44000</t>
  </si>
  <si>
    <t>15000</t>
  </si>
  <si>
    <t>438100</t>
  </si>
  <si>
    <t>173865</t>
  </si>
  <si>
    <t>65715</t>
  </si>
  <si>
    <t>985235</t>
  </si>
  <si>
    <t>372385</t>
  </si>
  <si>
    <t>510000</t>
  </si>
  <si>
    <t>185000</t>
  </si>
  <si>
    <t>205000</t>
  </si>
  <si>
    <t>92000</t>
  </si>
  <si>
    <t>96000</t>
  </si>
  <si>
    <t>888000</t>
  </si>
  <si>
    <t>55000</t>
  </si>
  <si>
    <t>420000</t>
  </si>
  <si>
    <t>360000</t>
  </si>
  <si>
    <t>68000</t>
  </si>
  <si>
    <t>83000</t>
  </si>
  <si>
    <t>276000</t>
  </si>
  <si>
    <t>375000</t>
  </si>
  <si>
    <t>506000</t>
  </si>
  <si>
    <t>131000</t>
  </si>
  <si>
    <t>522000</t>
  </si>
  <si>
    <t>150000</t>
  </si>
  <si>
    <t>16000</t>
  </si>
  <si>
    <t>234000</t>
  </si>
  <si>
    <t>228000</t>
  </si>
  <si>
    <t>889000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</si>
</sst>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name val="Calibri"/>
      <family val="2"/>
      <color theme="1"/>
      <sz val="11"/>
    </font>
    <font>
      <family val="2"/>
      <b val="1"/>
      <color rgb="FFFFFFFF"/>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applyAlignment="false">
      <alignment/>
    </xf>
    <xf numFmtId="0" fontId="1" fillId="2" borderId="0" xfId="0" applyFont="true" applyFill="true" applyAlignment="true">
      <alignment vertical="top" wrapText="true"/>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cols>
    <col customWidth="true" max="4" min="1" width="22"/>
  </cols>
  <sheetData>
    <row r="1">
      <c r="A1" s="2" t="s">
        <v>0</v>
      </c>
      <c r="B1" s="2" t="s">
        <v>1</v>
      </c>
      <c r="C1" s="2" t="s">
        <v>2</v>
      </c>
      <c r="D1" s="2" t="s">
        <v>3</v>
      </c>
    </row>
    <row r="2">
      <c r="A2" s="3" t="s">
        <v>4</v>
      </c>
      <c r="B2" s="3" t="s">
        <v>5</v>
      </c>
      <c r="C2" s="3" t="s">
        <v>6</v>
      </c>
      <c r="D2" s="3" t="s">
        <v>7</v>
      </c>
    </row>
    <row r="3">
      <c r="A3" s="3" t="s">
        <v>8</v>
      </c>
      <c r="B3" s="3" t="s">
        <v>9</v>
      </c>
      <c r="C3" s="3" t="s">
        <v>10</v>
      </c>
      <c r="D3" s="3" t="s">
        <v>11</v>
      </c>
    </row>
    <row r="4">
      <c r="A4" s="3" t="s">
        <v>12</v>
      </c>
      <c r="B4" s="3" t="s">
        <v>13</v>
      </c>
      <c r="C4" s="3" t="s">
        <v>14</v>
      </c>
      <c r="D4" s="3" t="s">
        <v>15</v>
      </c>
    </row>
    <row r="5">
      <c r="A5" s="3" t="s">
        <v>16</v>
      </c>
      <c r="B5" s="3" t="s">
        <v>17</v>
      </c>
      <c r="C5" s="3" t="s">
        <v>18</v>
      </c>
      <c r="D5" s="3" t="s">
        <v>19</v>
      </c>
    </row>
    <row r="6">
      <c r="A6" s="3" t="s">
        <v>20</v>
      </c>
      <c r="B6" s="3" t="s">
        <v>21</v>
      </c>
      <c r="C6" s="3" t="s">
        <v>22</v>
      </c>
      <c r="D6" s="3">
        <v>46191</v>
      </c>
    </row>
    <row r="7">
      <c r="A7" s="3" t="s">
        <v>23</v>
      </c>
      <c r="B7" s="3" t="s">
        <v>24</v>
      </c>
      <c r="C7" s="3" t="s">
        <v>25</v>
      </c>
      <c r="D7" s="3" t="s">
        <v>26</v>
      </c>
    </row>
  </sheetData>
</worksheet>
</file>

<file path=xl/worksheets/sheet2.xml><?xml version="1.0" encoding="utf-8"?>
<worksheet xmlns="http://schemas.openxmlformats.org/spreadsheetml/2006/main">
  <dimension ref="A1"/>
  <sheetViews>
    <sheetView workbookViewId="0"/>
  </sheetViews>
  <cols>
    <col customWidth="true" max="3" min="1" width="22"/>
  </cols>
  <sheetData>
    <row r="1">
      <c r="A1" s="2" t="s">
        <v>28</v>
      </c>
      <c r="B1" s="2" t="s">
        <v>29</v>
      </c>
      <c r="C1" s="2" t="s">
        <v>30</v>
      </c>
    </row>
    <row r="2">
      <c r="A2" s="3" t="s">
        <v>31</v>
      </c>
      <c r="B2" s="3" t="s">
        <v>17</v>
      </c>
      <c r="C2" s="3" t="s">
        <v>32</v>
      </c>
    </row>
    <row r="3">
      <c r="A3" s="3" t="s">
        <v>33</v>
      </c>
      <c r="B3" s="3" t="s">
        <v>34</v>
      </c>
      <c r="C3" s="3" t="s">
        <v>35</v>
      </c>
    </row>
    <row r="4">
      <c r="A4" s="3" t="s">
        <v>18</v>
      </c>
      <c r="B4" s="3" t="s">
        <v>19</v>
      </c>
      <c r="C4" s="3" t="s">
        <v>36</v>
      </c>
    </row>
    <row r="5">
      <c r="A5" s="3" t="s">
        <v>37</v>
      </c>
      <c r="B5" s="3" t="s">
        <v>38</v>
      </c>
      <c r="C5" s="3" t="s">
        <v>39</v>
      </c>
    </row>
    <row r="6">
      <c r="A6" s="3" t="s">
        <v>40</v>
      </c>
      <c r="B6" s="3" t="s">
        <v>41</v>
      </c>
      <c r="C6" s="3" t="s">
        <v>42</v>
      </c>
    </row>
  </sheetData>
</worksheet>
</file>

<file path=xl/worksheets/sheet3.xml><?xml version="1.0" encoding="utf-8"?>
<worksheet xmlns="http://schemas.openxmlformats.org/spreadsheetml/2006/main">
  <dimension ref="A1"/>
  <sheetViews>
    <sheetView workbookViewId="0"/>
  </sheetViews>
  <cols>
    <col customWidth="true" max="3" min="1" width="22"/>
  </cols>
  <sheetData>
    <row r="1">
      <c r="A1" s="2" t="s">
        <v>0</v>
      </c>
      <c r="B1" s="2" t="s">
        <v>43</v>
      </c>
      <c r="C1" s="2" t="s">
        <v>44</v>
      </c>
    </row>
    <row r="2">
      <c r="A2" s="3" t="s">
        <v>45</v>
      </c>
      <c r="B2" s="3" t="s">
        <v>17</v>
      </c>
      <c r="C2" s="3" t="s">
        <v>46</v>
      </c>
    </row>
    <row r="3">
      <c r="A3" s="3" t="s">
        <v>47</v>
      </c>
      <c r="B3" s="3" t="s">
        <v>48</v>
      </c>
      <c r="C3" s="3" t="s">
        <v>49</v>
      </c>
    </row>
    <row r="4">
      <c r="A4" s="3" t="s">
        <v>50</v>
      </c>
      <c r="B4" s="3" t="s">
        <v>51</v>
      </c>
      <c r="C4" s="3" t="s">
        <v>52</v>
      </c>
    </row>
    <row r="5">
      <c r="A5" s="3" t="s">
        <v>53</v>
      </c>
      <c r="B5" s="3" t="s">
        <v>54</v>
      </c>
      <c r="C5" s="3" t="s">
        <v>55</v>
      </c>
    </row>
    <row r="6">
      <c r="A6" s="3" t="s">
        <v>56</v>
      </c>
      <c r="B6" s="3" t="s">
        <v>57</v>
      </c>
      <c r="C6" s="3" t="s">
        <v>58</v>
      </c>
    </row>
    <row r="7">
      <c r="A7" s="3" t="s">
        <v>59</v>
      </c>
      <c r="B7" s="3" t="s">
        <v>60</v>
      </c>
      <c r="C7" s="3" t="s">
        <v>61</v>
      </c>
    </row>
  </sheetData>
</worksheet>
</file>

<file path=xl/worksheets/sheet4.xml><?xml version="1.0" encoding="utf-8"?>
<worksheet xmlns="http://schemas.openxmlformats.org/spreadsheetml/2006/main">
  <dimension ref="A1"/>
  <sheetViews>
    <sheetView workbookViewId="0"/>
  </sheetViews>
  <cols>
    <col customWidth="true" max="7" min="1" width="22"/>
  </cols>
  <sheetData>
    <row r="1">
      <c r="A1" s="2" t="s">
        <v>62</v>
      </c>
      <c r="B1" s="2" t="s">
        <v>63</v>
      </c>
      <c r="C1" s="2" t="s">
        <v>64</v>
      </c>
      <c r="D1" s="2" t="s">
        <v>65</v>
      </c>
      <c r="E1" s="2" t="s">
        <v>66</v>
      </c>
      <c r="F1" s="2" t="s">
        <v>67</v>
      </c>
      <c r="G1" s="2" t="s">
        <v>68</v>
      </c>
    </row>
    <row r="2">
      <c r="A2" s="3" t="s">
        <v>69</v>
      </c>
      <c r="B2" s="3">
        <f>ROUND(('利润表-2025Q1'!D4)/10000,2)</f>
        <v>98.00000000000001</v>
      </c>
      <c r="C2" s="3">
        <f>ROUND(('利润表-2025Q2'!D4)/10000,2)</f>
        <v>123.00000000000003</v>
      </c>
      <c r="D2" s="3">
        <f>ROUND(('利润表-2025Q3'!D4)/10000,2)</f>
        <v>151.00000000000003</v>
      </c>
      <c r="E2" s="3">
        <f>ROUND(('利润表-2025Q4'!D4)/10000,2)</f>
        <v>178.00000000000003</v>
      </c>
      <c r="F2" s="3">
        <f>ROUND(SUM(B2:E2),2)</f>
        <v>550.0000000000001</v>
      </c>
      <c r="G2" s="3" t="s">
        <v>70</v>
      </c>
    </row>
    <row r="3">
      <c r="A3" s="3" t="s">
        <v>71</v>
      </c>
      <c r="B3" s="3">
        <f>ROUND(('利润表-2025Q1'!D5)/10000,2)</f>
        <v>22.000000000000004</v>
      </c>
      <c r="C3" s="3">
        <f>ROUND(('利润表-2025Q2'!D5)/10000,2)</f>
        <v>27.500000000000007</v>
      </c>
      <c r="D3" s="3">
        <f>ROUND(('利润表-2025Q3'!D5)/10000,2)</f>
        <v>35.60000000000001</v>
      </c>
      <c r="E3" s="3">
        <f>ROUND(('利润表-2025Q4'!D5)/10000,2)</f>
        <v>43.20000000000001</v>
      </c>
      <c r="F3" s="3">
        <f>ROUND(SUM(B3:E3),2)</f>
        <v>128.3</v>
      </c>
      <c r="G3" s="3" t="s">
        <v>72</v>
      </c>
    </row>
    <row r="4">
      <c r="A4" s="3" t="s">
        <v>73</v>
      </c>
      <c r="B4" s="3">
        <f>ROUND(B2-B3,2)</f>
        <v>76.00000000000001</v>
      </c>
      <c r="C4" s="3">
        <f>ROUND(C2-C3,2)</f>
        <v>95.50000000000001</v>
      </c>
      <c r="D4" s="3">
        <f>ROUND(D2-D3,2)</f>
        <v>115.40000000000002</v>
      </c>
      <c r="E4" s="3">
        <f>ROUND(E2-E3,2)</f>
        <v>134.80000000000004</v>
      </c>
      <c r="F4" s="3">
        <f>ROUND(SUM(B4:E4),2)</f>
        <v>421.7000000000001</v>
      </c>
      <c r="G4" s="3" t="s">
        <v>74</v>
      </c>
    </row>
    <row r="5">
      <c r="A5" s="3" t="s">
        <v>75</v>
      </c>
      <c r="B5" s="3">
        <f>IFERROR(B4/B2,0)</f>
        <v>0.7755102040816327</v>
      </c>
      <c r="C5" s="3">
        <f>IFERROR(C4/C2,0)</f>
        <v>0.7764227642276422</v>
      </c>
      <c r="D5" s="3">
        <f>IFERROR(D4/D2,0)</f>
        <v>0.7642384105960265</v>
      </c>
      <c r="E5" s="3">
        <f>IFERROR(E4/E2,0)</f>
        <v>0.757303370786517</v>
      </c>
      <c r="F5" s="3">
        <f>IFERROR(F4/F2,0)</f>
        <v>0.7667272727272727</v>
      </c>
      <c r="G5" s="3" t="s">
        <v>76</v>
      </c>
    </row>
    <row r="6">
      <c r="A6" s="3" t="s">
        <v>77</v>
      </c>
      <c r="B6" s="3">
        <f>ROUND(('利润表-2025Q1'!D14)/10000,2)</f>
        <v>12.500000000000002</v>
      </c>
      <c r="C6" s="3">
        <f>ROUND(('利润表-2025Q2'!D14)/10000,2)</f>
        <v>15.800000000000002</v>
      </c>
      <c r="D6" s="3">
        <f>ROUND(('利润表-2025Q3'!D14)/10000,2)</f>
        <v>18.800000000000004</v>
      </c>
      <c r="E6" s="3">
        <f>ROUND(('利润表-2025Q4'!D14)/10000,2)</f>
        <v>22.600000000000005</v>
      </c>
      <c r="F6" s="3">
        <f>ROUND(SUM(B6:E6),2)</f>
        <v>69.70000000000002</v>
      </c>
      <c r="G6" s="3" t="s">
        <v>78</v>
      </c>
    </row>
    <row r="7">
      <c r="A7" s="3" t="s">
        <v>79</v>
      </c>
      <c r="B7" s="3">
        <f>ROUND(('利润表-2025Q1'!D20)/10000,2)</f>
        <v>18.000000000000004</v>
      </c>
      <c r="C7" s="3">
        <f>ROUND(('利润表-2025Q2'!D20)/10000,2)</f>
        <v>21.500000000000004</v>
      </c>
      <c r="D7" s="3">
        <f>ROUND(('利润表-2025Q3'!D20)/10000,2)</f>
        <v>24.500000000000004</v>
      </c>
      <c r="E7" s="3">
        <f>ROUND(('利润表-2025Q4'!D20)/10000,2)</f>
        <v>27.500000000000007</v>
      </c>
      <c r="F7" s="3">
        <f>ROUND(SUM(B7:E7),2)</f>
        <v>91.50000000000001</v>
      </c>
      <c r="G7" s="3" t="s">
        <v>80</v>
      </c>
    </row>
    <row r="8">
      <c r="A8" s="3" t="s">
        <v>81</v>
      </c>
      <c r="B8" s="3">
        <f>ROUND(('利润表-2025Q1'!D17)/10000,2)</f>
        <v>31.000000000000007</v>
      </c>
      <c r="C8" s="3">
        <f>ROUND(('利润表-2025Q2'!D17)/10000,2)</f>
        <v>34.50000000000001</v>
      </c>
      <c r="D8" s="3">
        <f>ROUND(('利润表-2025Q3'!D17)/10000,2)</f>
        <v>38.20000000000001</v>
      </c>
      <c r="E8" s="3">
        <f>ROUND(('利润表-2025Q4'!D17)/10000,2)</f>
        <v>41.00000000000001</v>
      </c>
      <c r="F8" s="3">
        <f>ROUND(SUM(B8:E8),2)</f>
        <v>144.70000000000002</v>
      </c>
      <c r="G8" s="3" t="s">
        <v>82</v>
      </c>
    </row>
    <row r="9">
      <c r="A9" s="3" t="s">
        <v>83</v>
      </c>
      <c r="B9" s="3">
        <f>ROUND(('利润表-2025Q1'!D21)/10000,2)</f>
        <v>0.3600000000000001</v>
      </c>
      <c r="C9" s="3">
        <f>ROUND(('利润表-2025Q2'!D21)/10000,2)</f>
        <v>0.4200000000000001</v>
      </c>
      <c r="D9" s="3">
        <f>ROUND(('利润表-2025Q3'!D21)/10000,2)</f>
        <v>0.5100000000000001</v>
      </c>
      <c r="E9" s="3">
        <f>ROUND(('利润表-2025Q4'!D21)/10000,2)</f>
        <v>0.6400000000000001</v>
      </c>
      <c r="F9" s="3">
        <f>ROUND(SUM(B9:E9),2)</f>
        <v>1.9300000000000004</v>
      </c>
      <c r="G9" s="3" t="s">
        <v>84</v>
      </c>
    </row>
    <row r="10">
      <c r="A10" s="3" t="s">
        <v>85</v>
      </c>
      <c r="B10" s="3">
        <f>ROUND(('利润表-2025Q1'!D24)/10000,2)</f>
        <v>13.720000000000002</v>
      </c>
      <c r="C10" s="3">
        <f>ROUND(('利润表-2025Q2'!D24)/10000,2)</f>
        <v>22.750000000000004</v>
      </c>
      <c r="D10" s="3">
        <f>ROUND(('利润表-2025Q3'!D24)/10000,2)</f>
        <v>32.730000000000004</v>
      </c>
      <c r="E10" s="3">
        <f>ROUND(('利润表-2025Q4'!D24)/10000,2)</f>
        <v>42.31000000000001</v>
      </c>
      <c r="F10" s="3">
        <f>ROUND(SUM(B10:E10),2)</f>
        <v>111.51000000000002</v>
      </c>
      <c r="G10" s="3" t="s">
        <v>86</v>
      </c>
    </row>
    <row r="11">
      <c r="A11" s="3" t="s">
        <v>87</v>
      </c>
      <c r="B11" s="3">
        <f>ROUND(('利润表-2025Q1'!D35)/10000,2)</f>
        <v>12.680000000000003</v>
      </c>
      <c r="C11" s="3">
        <f>ROUND(('利润表-2025Q2'!D35)/10000,2)</f>
        <v>20.020000000000003</v>
      </c>
      <c r="D11" s="3">
        <f>ROUND(('利润表-2025Q3'!D35)/10000,2)</f>
        <v>28.590000000000007</v>
      </c>
      <c r="E11" s="3">
        <f>ROUND(('利润表-2025Q4'!D35)/10000,2)</f>
        <v>37.24000000000001</v>
      </c>
      <c r="F11" s="3">
        <f>ROUND(SUM(B11:E11),2)</f>
        <v>98.53000000000002</v>
      </c>
      <c r="G11" s="3" t="s">
        <v>88</v>
      </c>
    </row>
    <row r="12">
      <c r="A12" s="3" t="s">
        <v>89</v>
      </c>
      <c r="B12" s="3">
        <f>IFERROR(B11/B2,0)</f>
        <v>0.12938775510204084</v>
      </c>
      <c r="C12" s="3">
        <f>IFERROR(C11/C2,0)</f>
        <v>0.1627642276422764</v>
      </c>
      <c r="D12" s="3">
        <f>IFERROR(D11/D2,0)</f>
        <v>0.18933774834437087</v>
      </c>
      <c r="E12" s="3">
        <f>IFERROR(E11/E2,0)</f>
        <v>0.20921348314606744</v>
      </c>
      <c r="F12" s="3">
        <f>IFERROR(F11/F2,0)</f>
        <v>0.17914545454545452</v>
      </c>
      <c r="G12" s="3" t="s">
        <v>90</v>
      </c>
    </row>
  </sheetData>
</worksheet>
</file>

<file path=xl/worksheets/sheet5.xml><?xml version="1.0" encoding="utf-8"?>
<worksheet xmlns="http://schemas.openxmlformats.org/spreadsheetml/2006/main">
  <dimension ref="A1"/>
  <sheetViews>
    <sheetView workbookViewId="0"/>
  </sheetViews>
  <cols>
    <col customWidth="true" max="6" min="1" width="22"/>
  </cols>
  <sheetData>
    <row r="1">
      <c r="A1" s="2" t="s">
        <v>91</v>
      </c>
      <c r="B1" s="2" t="s">
        <v>92</v>
      </c>
      <c r="C1" s="2" t="s">
        <v>93</v>
      </c>
      <c r="D1" s="2" t="s">
        <v>94</v>
      </c>
      <c r="E1" s="2" t="s">
        <v>62</v>
      </c>
      <c r="F1" s="2" t="s">
        <v>95</v>
      </c>
    </row>
    <row r="2">
      <c r="A2" s="3">
        <f>ROUND(('资产负债表-2025Q1'!C4)/10000,2)</f>
        <v>79.50000000000001</v>
      </c>
      <c r="B2" s="3">
        <f>ROUND(('资产负债表-2025Q2'!C4)/10000,2)</f>
        <v>91.60000000000002</v>
      </c>
      <c r="C2" s="3">
        <f>ROUND(('资产负债表-2025Q3'!C4)/10000,2)</f>
        <v>111.10000000000002</v>
      </c>
      <c r="D2" s="3">
        <f>ROUND(('资产负债表-2025Q4'!C4)/10000,2)</f>
        <v>133.90000000000003</v>
      </c>
      <c r="E2" s="3" t="s">
        <v>96</v>
      </c>
      <c r="F2" s="3" t="s">
        <v>97</v>
      </c>
    </row>
    <row r="3">
      <c r="A3" s="3">
        <f>ROUND(('资产负债表-2025Q1'!C10)/10000,2)</f>
        <v>33.00000000000001</v>
      </c>
      <c r="B3" s="3">
        <f>ROUND(('资产负债表-2025Q2'!C10)/10000,2)</f>
        <v>39.00000000000001</v>
      </c>
      <c r="C3" s="3">
        <f>ROUND(('资产负债表-2025Q3'!C10)/10000,2)</f>
        <v>45.50000000000001</v>
      </c>
      <c r="D3" s="3">
        <f>ROUND(('资产负债表-2025Q4'!C10)/10000,2)</f>
        <v>51.00000000000001</v>
      </c>
      <c r="E3" s="3" t="s">
        <v>98</v>
      </c>
      <c r="F3" s="3" t="s">
        <v>99</v>
      </c>
    </row>
    <row r="4">
      <c r="A4" s="3">
        <f>ROUND(('资产负债表-2025Q1'!C31)/10000,2)</f>
        <v>130.70000000000002</v>
      </c>
      <c r="B4" s="3">
        <f>ROUND(('资产负债表-2025Q2'!C31)/10000,2)</f>
        <v>149.80000000000004</v>
      </c>
      <c r="C4" s="3">
        <f>ROUND(('资产负债表-2025Q3'!C31)/10000,2)</f>
        <v>177.20000000000005</v>
      </c>
      <c r="D4" s="3">
        <f>ROUND(('资产负债表-2025Q4'!C31)/10000,2)</f>
        <v>207.00000000000003</v>
      </c>
      <c r="E4" s="3" t="s">
        <v>100</v>
      </c>
      <c r="F4" s="3" t="s">
        <v>101</v>
      </c>
    </row>
    <row r="5">
      <c r="A5" s="3">
        <f>ROUND(('资产负债表-2025Q1'!C55)/10000,2)</f>
        <v>216.20000000000005</v>
      </c>
      <c r="B5" s="3">
        <f>ROUND(('资产负债表-2025Q2'!C55)/10000,2)</f>
        <v>242.50000000000006</v>
      </c>
      <c r="C5" s="3">
        <f>ROUND(('资产负债表-2025Q3'!C55)/10000,2)</f>
        <v>278.90000000000003</v>
      </c>
      <c r="D5" s="3">
        <f>ROUND(('资产负债表-2025Q4'!C55)/10000,2)</f>
        <v>319.80000000000007</v>
      </c>
      <c r="E5" s="3" t="s">
        <v>102</v>
      </c>
      <c r="F5" s="3" t="s">
        <v>103</v>
      </c>
    </row>
    <row r="6">
      <c r="A6" s="3">
        <f>ROUND(('资产负债表-2025Q1'!C9)/10000,2)</f>
        <v>21.000000000000004</v>
      </c>
      <c r="B6" s="3">
        <f>ROUND(('资产负债表-2025Q2'!C9)/10000,2)</f>
        <v>24.500000000000004</v>
      </c>
      <c r="C6" s="3">
        <f>ROUND(('资产负债表-2025Q3'!C9)/10000,2)</f>
        <v>28.000000000000007</v>
      </c>
      <c r="D6" s="3">
        <f>ROUND(('资产负债表-2025Q4'!C9)/10000,2)</f>
        <v>31.000000000000007</v>
      </c>
      <c r="E6" s="3" t="s">
        <v>104</v>
      </c>
      <c r="F6" s="3" t="s">
        <v>105</v>
      </c>
    </row>
    <row r="7">
      <c r="A7" s="3">
        <f>ROUND(('资产负债表-2025Q1'!C25)/10000,2)</f>
        <v>57.500000000000014</v>
      </c>
      <c r="B7" s="3">
        <f>ROUND(('资产负债表-2025Q2'!C25)/10000,2)</f>
        <v>68.00000000000001</v>
      </c>
      <c r="C7" s="3">
        <f>ROUND(('资产负债表-2025Q3'!C25)/10000,2)</f>
        <v>79.00000000000001</v>
      </c>
      <c r="D7" s="3">
        <f>ROUND(('资产负债表-2025Q4'!C25)/10000,2)</f>
        <v>88.80000000000001</v>
      </c>
      <c r="E7" s="3" t="s">
        <v>106</v>
      </c>
      <c r="F7" s="3" t="s">
        <v>107</v>
      </c>
    </row>
    <row r="8">
      <c r="A8" s="3">
        <f>ROUND(('资产负债表-2025Q1'!C37)/10000,2)</f>
        <v>100.30000000000003</v>
      </c>
      <c r="B8" s="3">
        <f>ROUND(('资产负债表-2025Q2'!C37)/10000,2)</f>
        <v>110.50000000000003</v>
      </c>
      <c r="C8" s="3">
        <f>ROUND(('资产负债表-2025Q3'!C37)/10000,2)</f>
        <v>121.20000000000002</v>
      </c>
      <c r="D8" s="3">
        <f>ROUND(('资产负债表-2025Q4'!C37)/10000,2)</f>
        <v>130.8</v>
      </c>
      <c r="E8" s="3" t="s">
        <v>108</v>
      </c>
      <c r="F8" s="3" t="s">
        <v>109</v>
      </c>
    </row>
    <row r="9">
      <c r="A9" s="3">
        <f>ROUND(('资产负债表-2025Q1'!C54)/10000,2)</f>
        <v>115.90000000000002</v>
      </c>
      <c r="B9" s="3">
        <f>ROUND(('资产负债表-2025Q2'!C54)/10000,2)</f>
        <v>132.00000000000003</v>
      </c>
      <c r="C9" s="3">
        <f>ROUND(('资产负债表-2025Q3'!C54)/10000,2)</f>
        <v>157.70000000000002</v>
      </c>
      <c r="D9" s="3">
        <f>ROUND(('资产负债表-2025Q4'!C54)/10000,2)</f>
        <v>189.00000000000003</v>
      </c>
      <c r="E9" s="3" t="s">
        <v>110</v>
      </c>
      <c r="F9" s="3" t="s">
        <v>111</v>
      </c>
    </row>
    <row r="10">
      <c r="A10" s="3">
        <f>IFERROR(A8/A5,0)</f>
        <v>0.46392229417206293</v>
      </c>
      <c r="B10" s="3">
        <f>IFERROR(B8/B5,0)</f>
        <v>0.4556701030927835</v>
      </c>
      <c r="C10" s="3">
        <f>IFERROR(C8/C5,0)</f>
        <v>0.43456435998565796</v>
      </c>
      <c r="D10" s="3">
        <f>IFERROR(D8/D5,0)</f>
        <v>0.40900562851782357</v>
      </c>
      <c r="E10" s="3" t="s">
        <v>112</v>
      </c>
      <c r="F10" s="3" t="s">
        <v>113</v>
      </c>
    </row>
  </sheetData>
</worksheet>
</file>

<file path=xl/worksheets/sheet6.xml><?xml version="1.0" encoding="utf-8"?>
<worksheet xmlns="http://schemas.openxmlformats.org/spreadsheetml/2006/main">
  <dimension ref="A1"/>
  <sheetViews>
    <sheetView workbookViewId="0"/>
  </sheetViews>
  <cols>
    <col customWidth="true" max="7" min="1" width="22"/>
  </cols>
  <sheetData>
    <row r="1">
      <c r="A1" s="2" t="s">
        <v>62</v>
      </c>
      <c r="B1" s="2" t="s">
        <v>114</v>
      </c>
      <c r="C1" s="2" t="s">
        <v>115</v>
      </c>
      <c r="D1" s="2" t="s">
        <v>116</v>
      </c>
      <c r="E1" s="2" t="s">
        <v>117</v>
      </c>
      <c r="F1" s="2" t="s">
        <v>118</v>
      </c>
      <c r="G1" s="2" t="s">
        <v>95</v>
      </c>
    </row>
    <row r="2">
      <c r="A2" s="3" t="s">
        <v>119</v>
      </c>
      <c r="B2" s="3">
        <f>ROUND(('现金流量表-2025Q1'!C10)/10000,2)</f>
        <v>18.000000000000004</v>
      </c>
      <c r="C2" s="3">
        <f>ROUND(('现金流量表-2025Q2'!C10)/10000,2)</f>
        <v>22.200000000000003</v>
      </c>
      <c r="D2" s="3">
        <f>ROUND(('现金流量表-2025Q3'!C10)/10000,2)</f>
        <v>32.00000000000001</v>
      </c>
      <c r="E2" s="3">
        <f>ROUND(('现金流量表-2025Q4'!C10)/10000,2)</f>
        <v>38.300000000000004</v>
      </c>
      <c r="F2" s="3">
        <f>ROUND(SUM(B2:E2),2)</f>
        <v>110.50000000000003</v>
      </c>
      <c r="G2" s="3" t="s">
        <v>120</v>
      </c>
    </row>
    <row r="3">
      <c r="A3" s="3" t="s">
        <v>87</v>
      </c>
      <c r="B3" s="3">
        <f>利润分析!B11</f>
        <v>12.680000000000003</v>
      </c>
      <c r="C3" s="3">
        <f>利润分析!C11</f>
        <v>20.020000000000003</v>
      </c>
      <c r="D3" s="3">
        <f>利润分析!D11</f>
        <v>28.590000000000007</v>
      </c>
      <c r="E3" s="3">
        <f>利润分析!E11</f>
        <v>37.24000000000001</v>
      </c>
      <c r="F3" s="3">
        <f>利润分析!F11</f>
        <v>98.53000000000002</v>
      </c>
      <c r="G3" s="3" t="s">
        <v>121</v>
      </c>
    </row>
    <row r="4">
      <c r="A4" s="3" t="s">
        <v>122</v>
      </c>
      <c r="B4" s="3">
        <f>IFERROR(B2/B3,0)</f>
        <v>1.419558359621451</v>
      </c>
      <c r="C4" s="3">
        <f>IFERROR(C2/C3,0)</f>
        <v>1.1088911088911089</v>
      </c>
      <c r="D4" s="3">
        <f>IFERROR(D2/D3,0)</f>
        <v>1.1192724728926198</v>
      </c>
      <c r="E4" s="3">
        <f>IFERROR(E2/E3,0)</f>
        <v>1.0284640171858215</v>
      </c>
      <c r="F4" s="3">
        <f>IFERROR(F2/F3,0)</f>
        <v>1.121485841875571</v>
      </c>
      <c r="G4" s="3" t="s">
        <v>123</v>
      </c>
    </row>
    <row r="5">
      <c r="A5" s="3" t="s">
        <v>124</v>
      </c>
      <c r="B5" s="3">
        <f>资产负债分析!A2</f>
        <v>79.50000000000001</v>
      </c>
      <c r="C5" s="3">
        <f>资产负债分析!B2</f>
        <v>91.60000000000002</v>
      </c>
      <c r="D5" s="3">
        <f>资产负债分析!C2</f>
        <v>111.10000000000002</v>
      </c>
      <c r="E5" s="3">
        <f>资产负债分析!D2</f>
        <v>133.90000000000003</v>
      </c>
      <c r="F5" s="3">
        <f>E5</f>
        <v>133.90000000000003</v>
      </c>
      <c r="G5" s="3" t="s">
        <v>125</v>
      </c>
    </row>
  </sheetData>
</worksheet>
</file>

<file path=xl/worksheets/sheet7.xml><?xml version="1.0" encoding="utf-8"?>
<worksheet xmlns="http://schemas.openxmlformats.org/spreadsheetml/2006/main">
  <dimension ref="A1"/>
  <sheetViews>
    <sheetView workbookViewId="0"/>
  </sheetViews>
  <cols>
    <col customWidth="true" max="6" min="1" width="22"/>
  </cols>
  <sheetData>
    <row r="1">
      <c r="A1" s="2" t="s">
        <v>63</v>
      </c>
      <c r="B1" s="2" t="s">
        <v>64</v>
      </c>
      <c r="C1" s="2" t="s">
        <v>65</v>
      </c>
      <c r="D1" s="2" t="s">
        <v>66</v>
      </c>
      <c r="E1" s="2" t="s">
        <v>118</v>
      </c>
      <c r="F1" s="2" t="s">
        <v>62</v>
      </c>
    </row>
    <row r="2">
      <c r="A2" s="3">
        <f>利润分析!B2</f>
        <v>98.00000000000001</v>
      </c>
      <c r="B2" s="3">
        <f>利润分析!C2</f>
        <v>123.00000000000003</v>
      </c>
      <c r="C2" s="3">
        <f>利润分析!D2</f>
        <v>151.00000000000003</v>
      </c>
      <c r="D2" s="3">
        <f>利润分析!E2</f>
        <v>178.00000000000003</v>
      </c>
      <c r="E2" s="3">
        <f>利润分析!F2</f>
        <v>550.0000000000001</v>
      </c>
      <c r="F2" s="3" t="s">
        <v>69</v>
      </c>
    </row>
    <row r="3">
      <c r="A3" s="3">
        <f>利润分析!B4</f>
        <v>76.00000000000001</v>
      </c>
      <c r="B3" s="3">
        <f>利润分析!C4</f>
        <v>95.50000000000001</v>
      </c>
      <c r="C3" s="3">
        <f>利润分析!D4</f>
        <v>115.40000000000002</v>
      </c>
      <c r="D3" s="3">
        <f>利润分析!E4</f>
        <v>134.80000000000004</v>
      </c>
      <c r="E3" s="3">
        <f>利润分析!F4</f>
        <v>421.7000000000001</v>
      </c>
      <c r="F3" s="3" t="s">
        <v>73</v>
      </c>
    </row>
    <row r="4">
      <c r="A4" s="3">
        <f>利润分析!B5</f>
        <v>0.7755102040816327</v>
      </c>
      <c r="B4" s="3">
        <f>利润分析!C5</f>
        <v>0.7764227642276422</v>
      </c>
      <c r="C4" s="3">
        <f>利润分析!D5</f>
        <v>0.7642384105960265</v>
      </c>
      <c r="D4" s="3">
        <f>利润分析!E5</f>
        <v>0.757303370786517</v>
      </c>
      <c r="E4" s="3">
        <f>利润分析!F5</f>
        <v>0.7667272727272727</v>
      </c>
      <c r="F4" s="3" t="s">
        <v>75</v>
      </c>
    </row>
    <row r="5">
      <c r="A5" s="3">
        <f>利润分析!B10</f>
        <v>13.720000000000002</v>
      </c>
      <c r="B5" s="3">
        <f>利润分析!C10</f>
        <v>22.750000000000004</v>
      </c>
      <c r="C5" s="3">
        <f>利润分析!D10</f>
        <v>32.730000000000004</v>
      </c>
      <c r="D5" s="3">
        <f>利润分析!E10</f>
        <v>42.31000000000001</v>
      </c>
      <c r="E5" s="3">
        <f>利润分析!F10</f>
        <v>111.51000000000002</v>
      </c>
      <c r="F5" s="3" t="s">
        <v>85</v>
      </c>
    </row>
    <row r="6">
      <c r="A6" s="3">
        <f>利润分析!B11</f>
        <v>12.680000000000003</v>
      </c>
      <c r="B6" s="3">
        <f>利润分析!C11</f>
        <v>20.020000000000003</v>
      </c>
      <c r="C6" s="3">
        <f>利润分析!D11</f>
        <v>28.590000000000007</v>
      </c>
      <c r="D6" s="3">
        <f>利润分析!E11</f>
        <v>37.24000000000001</v>
      </c>
      <c r="E6" s="3">
        <f>利润分析!F11</f>
        <v>98.53000000000002</v>
      </c>
      <c r="F6" s="3" t="s">
        <v>87</v>
      </c>
    </row>
    <row r="7">
      <c r="A7" s="3">
        <f>利润分析!B12</f>
        <v>0.12938775510204084</v>
      </c>
      <c r="B7" s="3">
        <f>利润分析!C12</f>
        <v>0.1627642276422764</v>
      </c>
      <c r="C7" s="3">
        <f>利润分析!D12</f>
        <v>0.18933774834437087</v>
      </c>
      <c r="D7" s="3">
        <f>利润分析!E12</f>
        <v>0.20921348314606744</v>
      </c>
      <c r="E7" s="3">
        <f>利润分析!F12</f>
        <v>0.17914545454545452</v>
      </c>
      <c r="F7" s="3" t="s">
        <v>89</v>
      </c>
    </row>
    <row r="8">
      <c r="A8" s="3">
        <f>现金流分析!B2</f>
        <v>18.000000000000004</v>
      </c>
      <c r="B8" s="3">
        <f>现金流分析!C2</f>
        <v>22.200000000000003</v>
      </c>
      <c r="C8" s="3">
        <f>现金流分析!D2</f>
        <v>32.00000000000001</v>
      </c>
      <c r="D8" s="3">
        <f>现金流分析!E2</f>
        <v>38.300000000000004</v>
      </c>
      <c r="E8" s="3">
        <f>现金流分析!F2</f>
        <v>110.50000000000003</v>
      </c>
      <c r="F8" s="3" t="s">
        <v>119</v>
      </c>
    </row>
    <row r="9">
      <c r="A9" s="3">
        <f>资产负债分析!A2</f>
        <v>79.50000000000001</v>
      </c>
      <c r="B9" s="3">
        <f>资产负债分析!B2</f>
        <v>91.60000000000002</v>
      </c>
      <c r="C9" s="3">
        <f>资产负债分析!C2</f>
        <v>111.10000000000002</v>
      </c>
      <c r="D9" s="3">
        <f>资产负债分析!D2</f>
        <v>133.90000000000003</v>
      </c>
      <c r="E9" s="3">
        <f>资产负债分析!D2</f>
        <v>133.90000000000003</v>
      </c>
      <c r="F9" s="3" t="s">
        <v>126</v>
      </c>
    </row>
    <row r="10">
      <c r="A10" s="3">
        <f>资产负债分析!A5</f>
        <v>216.20000000000005</v>
      </c>
      <c r="B10" s="3">
        <f>资产负债分析!B5</f>
        <v>242.50000000000006</v>
      </c>
      <c r="C10" s="3">
        <f>资产负债分析!C5</f>
        <v>278.90000000000003</v>
      </c>
      <c r="D10" s="3">
        <f>资产负债分析!D5</f>
        <v>319.80000000000007</v>
      </c>
      <c r="E10" s="3">
        <f>资产负债分析!D5</f>
        <v>319.80000000000007</v>
      </c>
      <c r="F10" s="3" t="s">
        <v>102</v>
      </c>
    </row>
    <row r="11">
      <c r="A11" s="3">
        <f>资产负债分析!A10</f>
        <v>0.46392229417206293</v>
      </c>
      <c r="B11" s="3">
        <f>资产负债分析!B10</f>
        <v>0.4556701030927835</v>
      </c>
      <c r="C11" s="3">
        <f>资产负债分析!C10</f>
        <v>0.43456435998565796</v>
      </c>
      <c r="D11" s="3">
        <f>资产负债分析!D10</f>
        <v>0.40900562851782357</v>
      </c>
      <c r="E11" s="3">
        <f>资产负债分析!D10</f>
        <v>0.40900562851782357</v>
      </c>
      <c r="F11" s="3" t="s">
        <v>112</v>
      </c>
    </row>
  </sheetData>
</worksheet>
</file>

<file path=xl/worksheets/sheet8.xml><?xml version="1.0" encoding="utf-8"?>
<worksheet xmlns="http://schemas.openxmlformats.org/spreadsheetml/2006/main">
  <dimension ref="A1"/>
  <sheetViews>
    <sheetView workbookViewId="0"/>
  </sheetViews>
  <cols>
    <col customWidth="true" max="4" min="1" width="22"/>
  </cols>
  <sheetData>
    <row r="1">
      <c r="A1" s="2" t="s">
        <v>127</v>
      </c>
      <c r="B1" s="2" t="s">
        <v>128</v>
      </c>
      <c r="C1" s="2" t="s">
        <v>129</v>
      </c>
      <c r="D1" s="2" t="s">
        <v>130</v>
      </c>
    </row>
    <row r="2">
      <c r="A2" s="3" t="s">
        <v>131</v>
      </c>
      <c r="B2" s="3" t="s">
        <v>132</v>
      </c>
      <c r="C2" s="3" t="s">
        <v>133</v>
      </c>
      <c r="D2" s="3" t="s">
        <v>134</v>
      </c>
    </row>
    <row r="3">
      <c r="A3" s="3" t="s">
        <v>135</v>
      </c>
      <c r="B3" s="3" t="s">
        <v>136</v>
      </c>
      <c r="C3" s="3" t="s">
        <v>137</v>
      </c>
      <c r="D3" s="3" t="s">
        <v>138</v>
      </c>
    </row>
    <row r="4">
      <c r="A4" s="3" t="s">
        <v>18</v>
      </c>
      <c r="B4" s="3" t="s">
        <v>139</v>
      </c>
      <c r="C4" s="3" t="s">
        <v>140</v>
      </c>
      <c r="D4" s="3" t="s">
        <v>141</v>
      </c>
    </row>
    <row r="5">
      <c r="A5" s="3" t="s">
        <v>37</v>
      </c>
      <c r="B5" s="3" t="s">
        <v>142</v>
      </c>
      <c r="C5" s="3" t="s">
        <v>143</v>
      </c>
      <c r="D5" s="3" t="s">
        <v>144</v>
      </c>
    </row>
    <row r="6">
      <c r="A6" s="3" t="s">
        <v>145</v>
      </c>
      <c r="B6" s="3" t="s">
        <v>146</v>
      </c>
      <c r="C6" s="3" t="s">
        <v>147</v>
      </c>
      <c r="D6" s="3" t="s">
        <v>148</v>
      </c>
    </row>
  </sheetData>
</worksheet>
</file>

<file path=xl/worksheets/sheet9.xml><?xml version="1.0" encoding="utf-8"?>
<worksheet xmlns="http://schemas.openxmlformats.org/spreadsheetml/2006/main">
  <dimension ref="A1"/>
  <sheetViews>
    <sheetView workbookViewId="0"/>
  </sheetViews>
  <cols>
    <col customWidth="true" max="4" min="1" width="22"/>
  </cols>
  <sheetData>
    <row r="1">
      <c r="A1" s="2" t="s">
        <v>149</v>
      </c>
      <c r="B1" s="2" t="s">
        <v>150</v>
      </c>
      <c r="C1" s="2" t="s">
        <v>151</v>
      </c>
      <c r="D1" s="2" t="s">
        <v>152</v>
      </c>
    </row>
    <row r="2">
      <c r="A2" s="3" t="s">
        <v>153</v>
      </c>
      <c r="B2" s="3" t="s">
        <v>154</v>
      </c>
      <c r="C2" s="3" t="s">
        <v>155</v>
      </c>
      <c r="D2" s="3" t="s">
        <v>156</v>
      </c>
    </row>
    <row r="3">
      <c r="A3" s="3" t="s">
        <v>157</v>
      </c>
      <c r="B3" s="3" t="s">
        <v>158</v>
      </c>
      <c r="C3" s="3" t="s">
        <v>159</v>
      </c>
      <c r="D3" s="3" t="s">
        <v>160</v>
      </c>
    </row>
    <row r="4">
      <c r="A4" s="3" t="s">
        <v>161</v>
      </c>
      <c r="B4" s="3" t="s">
        <v>162</v>
      </c>
      <c r="C4" s="3" t="s">
        <v>163</v>
      </c>
      <c r="D4" s="3" t="s">
        <v>164</v>
      </c>
    </row>
    <row r="5">
      <c r="A5" s="3" t="s">
        <v>165</v>
      </c>
      <c r="B5" s="3" t="s">
        <v>166</v>
      </c>
      <c r="C5" s="3" t="s">
        <v>167</v>
      </c>
      <c r="D5" s="3" t="s">
        <v>168</v>
      </c>
    </row>
    <row r="6">
      <c r="A6" s="3" t="s">
        <v>169</v>
      </c>
      <c r="B6" s="3" t="s">
        <v>170</v>
      </c>
      <c r="C6" s="3" t="s">
        <v>171</v>
      </c>
      <c r="D6" s="3" t="s">
        <v>172</v>
      </c>
    </row>
  </sheetData>
</worksheet>
</file>

<file path=xl/worksheets/sheet10.xml><?xml version="1.0" encoding="utf-8"?>
<worksheet xmlns="http://schemas.openxmlformats.org/spreadsheetml/2006/main">
  <dimension ref="A1"/>
  <sheetViews>
    <sheetView workbookViewId="0"/>
  </sheetViews>
  <cols>
    <col customWidth="true" max="7" min="1" width="22"/>
  </cols>
  <sheetData>
    <row r="1">
      <c r="A1" s="2" t="s">
        <v>62</v>
      </c>
      <c r="B1" s="2" t="s">
        <v>114</v>
      </c>
      <c r="C1" s="2" t="s">
        <v>115</v>
      </c>
      <c r="D1" s="2" t="s">
        <v>116</v>
      </c>
      <c r="E1" s="2" t="s">
        <v>117</v>
      </c>
      <c r="F1" s="2" t="s">
        <v>118</v>
      </c>
      <c r="G1" s="2" t="s">
        <v>173</v>
      </c>
    </row>
    <row r="2">
      <c r="A2" s="3" t="s">
        <v>174</v>
      </c>
      <c r="B2" s="3">
        <f>ROUND(('利润表-2025Q1'!C4)/10000,2)</f>
        <v>98.00000000000001</v>
      </c>
      <c r="C2" s="3">
        <f>ROUND(('利润表-2025Q2'!C4)/10000,2)</f>
        <v>221.00000000000006</v>
      </c>
      <c r="D2" s="3">
        <f>ROUND(('利润表-2025Q3'!C4)/10000,2)</f>
        <v>372.00000000000006</v>
      </c>
      <c r="E2" s="3">
        <f>ROUND(('利润表-2025Q4'!C4)/10000,2)</f>
        <v>550.0000000000001</v>
      </c>
      <c r="F2" s="3">
        <f>ROUND(('利润表-2025Q4'!C4)/10000,2)</f>
        <v>550.0000000000001</v>
      </c>
      <c r="G2" s="3" t="s">
        <v>175</v>
      </c>
    </row>
    <row r="3">
      <c r="A3" s="3" t="s">
        <v>176</v>
      </c>
      <c r="B3" s="3">
        <f>利润分析!B2</f>
        <v>98.00000000000001</v>
      </c>
      <c r="C3" s="3">
        <f>利润分析!C2</f>
        <v>123.00000000000003</v>
      </c>
      <c r="D3" s="3">
        <f>利润分析!D2</f>
        <v>151.00000000000003</v>
      </c>
      <c r="E3" s="3">
        <f>利润分析!E2</f>
        <v>178.00000000000003</v>
      </c>
      <c r="F3" s="3">
        <f>-</f>
      </c>
      <c r="G3" s="3" t="s">
        <v>177</v>
      </c>
    </row>
    <row r="4">
      <c r="A4" s="3" t="s">
        <v>178</v>
      </c>
      <c r="B4" s="3">
        <f>-</f>
      </c>
      <c r="C4" s="3">
        <f>IFERROR(C3/B3-1,0)</f>
        <v>0.2551020408163267</v>
      </c>
      <c r="D4" s="3">
        <f>IFERROR(D3/C3-1,0)</f>
        <v>0.22764227642276413</v>
      </c>
      <c r="E4" s="3">
        <f>IFERROR(E3/D3-1,0)</f>
        <v>0.17880794701986757</v>
      </c>
      <c r="F4" s="3">
        <f>-</f>
      </c>
      <c r="G4" s="3" t="s">
        <v>179</v>
      </c>
    </row>
    <row r="5">
      <c r="A5" s="3" t="s">
        <v>180</v>
      </c>
      <c r="B5" s="3">
        <f>IFERROR(((ROUND(('利润表-2025Q1'!C4)/10000,2)-ROUND(('利润表-2025Q1'!C5)/10000,2)))/(ROUND(('利润表-2025Q1'!C4)/10000,2)),0)</f>
        <v>0.7755102040816327</v>
      </c>
      <c r="C5" s="3">
        <f>IFERROR(((ROUND(('利润表-2025Q2'!C4)/10000,2)-ROUND(('利润表-2025Q2'!C5)/10000,2)))/(ROUND(('利润表-2025Q2'!C4)/10000,2)),0)</f>
        <v>0.7760180995475113</v>
      </c>
      <c r="D5" s="3">
        <f>IFERROR(((ROUND(('利润表-2025Q3'!C4)/10000,2)-ROUND(('利润表-2025Q3'!C5)/10000,2)))/(ROUND(('利润表-2025Q3'!C4)/10000,2)),0)</f>
        <v>0.771236559139785</v>
      </c>
      <c r="E5" s="3">
        <f>IFERROR(((ROUND(('利润表-2025Q4'!C4)/10000,2)-ROUND(('利润表-2025Q4'!C5)/10000,2)))/(ROUND(('利润表-2025Q4'!C4)/10000,2)),0)</f>
        <v>0.7667272727272727</v>
      </c>
      <c r="F5" s="3">
        <f>IFERROR(((ROUND(('利润表-2025Q4'!C4)/10000,2)-ROUND(('利润表-2025Q4'!C5)/10000,2)))/(ROUND(('利润表-2025Q4'!C4)/10000,2)),0)</f>
        <v>0.7667272727272727</v>
      </c>
      <c r="G5" s="3" t="s">
        <v>181</v>
      </c>
    </row>
    <row r="6">
      <c r="A6" s="3" t="s">
        <v>182</v>
      </c>
      <c r="B6" s="3">
        <f>ROUND(('利润表-2025Q1'!C24)/10000,2)</f>
        <v>13.720000000000002</v>
      </c>
      <c r="C6" s="3">
        <f>ROUND(('利润表-2025Q2'!C24)/10000,2)</f>
        <v>36.470000000000006</v>
      </c>
      <c r="D6" s="3">
        <f>ROUND(('利润表-2025Q3'!C24)/10000,2)</f>
        <v>69.20000000000002</v>
      </c>
      <c r="E6" s="3">
        <f>ROUND(('利润表-2025Q4'!C24)/10000,2)</f>
        <v>111.51000000000002</v>
      </c>
      <c r="F6" s="3">
        <f>ROUND(('利润表-2025Q4'!C24)/10000,2)</f>
        <v>111.51000000000002</v>
      </c>
      <c r="G6" s="3" t="s">
        <v>183</v>
      </c>
    </row>
    <row r="7">
      <c r="A7" s="3" t="s">
        <v>184</v>
      </c>
      <c r="B7" s="3">
        <f>ROUND(('利润表-2025Q1'!C35)/10000,2)</f>
        <v>12.680000000000003</v>
      </c>
      <c r="C7" s="3">
        <f>ROUND(('利润表-2025Q2'!C35)/10000,2)</f>
        <v>32.7</v>
      </c>
      <c r="D7" s="3">
        <f>ROUND(('利润表-2025Q3'!C35)/10000,2)</f>
        <v>61.29000000000001</v>
      </c>
      <c r="E7" s="3">
        <f>ROUND(('利润表-2025Q4'!C35)/10000,2)</f>
        <v>98.52000000000002</v>
      </c>
      <c r="F7" s="3">
        <f>ROUND(('利润表-2025Q4'!C35)/10000,2)</f>
        <v>98.52000000000002</v>
      </c>
      <c r="G7" s="3" t="s">
        <v>185</v>
      </c>
    </row>
    <row r="8">
      <c r="A8" s="3" t="s">
        <v>186</v>
      </c>
      <c r="B8" s="3">
        <f>IFERROR((ROUND(('利润表-2025Q1'!C35)/10000,2))/(ROUND(('利润表-2025Q1'!C4)/10000,2)),0)</f>
        <v>0.12938775510204084</v>
      </c>
      <c r="C8" s="3">
        <f>IFERROR((ROUND(('利润表-2025Q2'!C35)/10000,2))/(ROUND(('利润表-2025Q2'!C4)/10000,2)),0)</f>
        <v>0.14796380090497735</v>
      </c>
      <c r="D8" s="3">
        <f>IFERROR((ROUND(('利润表-2025Q3'!C35)/10000,2))/(ROUND(('利润表-2025Q3'!C4)/10000,2)),0)</f>
        <v>0.16475806451612904</v>
      </c>
      <c r="E8" s="3">
        <f>IFERROR((ROUND(('利润表-2025Q4'!C35)/10000,2))/(ROUND(('利润表-2025Q4'!C4)/10000,2)),0)</f>
        <v>0.17912727272727275</v>
      </c>
      <c r="F8" s="3">
        <f>IFERROR((ROUND(('利润表-2025Q4'!C35)/10000,2))/(ROUND(('利润表-2025Q4'!C4)/10000,2)),0)</f>
        <v>0.17912727272727275</v>
      </c>
      <c r="G8" s="3" t="s">
        <v>185</v>
      </c>
    </row>
    <row r="9">
      <c r="A9" s="3" t="s">
        <v>187</v>
      </c>
      <c r="B9" s="3">
        <f>ROUND(('现金流量表-2025Q1'!D10)/10000,2)</f>
        <v>18.000000000000004</v>
      </c>
      <c r="C9" s="3">
        <f>ROUND(('现金流量表-2025Q2'!D10)/10000,2)</f>
        <v>40.20000000000001</v>
      </c>
      <c r="D9" s="3">
        <f>ROUND(('现金流量表-2025Q3'!D10)/10000,2)</f>
        <v>72.20000000000002</v>
      </c>
      <c r="E9" s="3">
        <f>ROUND(('现金流量表-2025Q4'!D10)/10000,2)</f>
        <v>110.50000000000003</v>
      </c>
      <c r="F9" s="3">
        <f>ROUND(('现金流量表-2025Q4'!D10)/10000,2)</f>
        <v>110.50000000000003</v>
      </c>
      <c r="G9" s="3" t="s">
        <v>188</v>
      </c>
    </row>
    <row r="10">
      <c r="A10" s="3" t="s">
        <v>189</v>
      </c>
      <c r="B10" s="3">
        <f>现金流分析!B4</f>
        <v>1.419558359621451</v>
      </c>
      <c r="C10" s="3">
        <f>现金流分析!C4</f>
        <v>1.1088911088911089</v>
      </c>
      <c r="D10" s="3">
        <f>现金流分析!D4</f>
        <v>1.1192724728926198</v>
      </c>
      <c r="E10" s="3">
        <f>现金流分析!E4</f>
        <v>1.0284640171858215</v>
      </c>
      <c r="F10" s="3">
        <f>-</f>
      </c>
      <c r="G10" s="3" t="s">
        <v>190</v>
      </c>
    </row>
    <row r="11">
      <c r="A11" s="3" t="s">
        <v>191</v>
      </c>
      <c r="B11" s="3">
        <f>IFERROR(B9/B7,0)</f>
        <v>1.419558359621451</v>
      </c>
      <c r="C11" s="3">
        <f>IFERROR(C9/C7,0)</f>
        <v>1.2293577981651378</v>
      </c>
      <c r="D11" s="3">
        <f>IFERROR(D9/D7,0)</f>
        <v>1.1780062000326317</v>
      </c>
      <c r="E11" s="3">
        <f>IFERROR(E9/E7,0)</f>
        <v>1.1215996751928543</v>
      </c>
      <c r="F11" s="3">
        <f>IFERROR(F9/F7,0)</f>
        <v>1.1215996751928543</v>
      </c>
      <c r="G11" s="3" t="s">
        <v>192</v>
      </c>
    </row>
    <row r="12">
      <c r="A12" s="3" t="s">
        <v>193</v>
      </c>
      <c r="B12" s="3">
        <f>资产负债分析!A2</f>
        <v>79.50000000000001</v>
      </c>
      <c r="C12" s="3">
        <f>资产负债分析!B2</f>
        <v>91.60000000000002</v>
      </c>
      <c r="D12" s="3">
        <f>资产负债分析!C2</f>
        <v>111.10000000000002</v>
      </c>
      <c r="E12" s="3">
        <f>资产负债分析!D2</f>
        <v>133.90000000000003</v>
      </c>
      <c r="F12" s="3">
        <f>资产负债分析!D2</f>
        <v>133.90000000000003</v>
      </c>
      <c r="G12" s="3" t="s">
        <v>194</v>
      </c>
    </row>
    <row r="13">
      <c r="A13" s="3" t="s">
        <v>195</v>
      </c>
      <c r="B13" s="3">
        <f>资产负债分析!A5</f>
        <v>216.20000000000005</v>
      </c>
      <c r="C13" s="3">
        <f>资产负债分析!B5</f>
        <v>242.50000000000006</v>
      </c>
      <c r="D13" s="3">
        <f>资产负债分析!C5</f>
        <v>278.90000000000003</v>
      </c>
      <c r="E13" s="3">
        <f>资产负债分析!D5</f>
        <v>319.80000000000007</v>
      </c>
      <c r="F13" s="3">
        <f>资产负债分析!D5</f>
        <v>319.80000000000007</v>
      </c>
      <c r="G13" s="3" t="s">
        <v>196</v>
      </c>
    </row>
    <row r="14">
      <c r="A14" s="3" t="s">
        <v>197</v>
      </c>
      <c r="B14" s="3">
        <f>资产负债分析!A10</f>
        <v>0.46392229417206293</v>
      </c>
      <c r="C14" s="3">
        <f>资产负债分析!B10</f>
        <v>0.4556701030927835</v>
      </c>
      <c r="D14" s="3">
        <f>资产负债分析!C10</f>
        <v>0.43456435998565796</v>
      </c>
      <c r="E14" s="3">
        <f>资产负债分析!D10</f>
        <v>0.40900562851782357</v>
      </c>
      <c r="F14" s="3">
        <f>资产负债分析!D10</f>
        <v>0.40900562851782357</v>
      </c>
      <c r="G14" s="3" t="s">
        <v>198</v>
      </c>
    </row>
    <row r="15">
      <c r="A15" s="3" t="s">
        <v>199</v>
      </c>
      <c r="B15" s="3">
        <f>资产负债分析!A3</f>
        <v>33.00000000000001</v>
      </c>
      <c r="C15" s="3">
        <f>资产负债分析!B3</f>
        <v>39.00000000000001</v>
      </c>
      <c r="D15" s="3">
        <f>资产负债分析!C3</f>
        <v>45.50000000000001</v>
      </c>
      <c r="E15" s="3">
        <f>资产负债分析!D3</f>
        <v>51.00000000000001</v>
      </c>
      <c r="F15" s="3">
        <f>资产负债分析!D3</f>
        <v>51.00000000000001</v>
      </c>
      <c r="G15" s="3" t="s">
        <v>196</v>
      </c>
    </row>
    <row r="16">
      <c r="A16" s="3" t="s">
        <v>200</v>
      </c>
      <c r="B16" s="3">
        <f>ROUND(('利润表-2025Q1'!C20)/10000,2)</f>
        <v>18.000000000000004</v>
      </c>
      <c r="C16" s="3">
        <f>ROUND(('利润表-2025Q2'!C20)/10000,2)</f>
        <v>39.50000000000001</v>
      </c>
      <c r="D16" s="3">
        <f>ROUND(('利润表-2025Q3'!C20)/10000,2)</f>
        <v>64.00000000000001</v>
      </c>
      <c r="E16" s="3">
        <f>ROUND(('利润表-2025Q4'!C20)/10000,2)</f>
        <v>91.50000000000001</v>
      </c>
      <c r="F16" s="3">
        <f>ROUND(('利润表-2025Q4'!C20)/10000,2)</f>
        <v>91.50000000000001</v>
      </c>
      <c r="G16" s="3" t="s">
        <v>201</v>
      </c>
    </row>
  </sheetData>
</worksheet>
</file>

<file path=xl/worksheets/sheet11.xml><?xml version="1.0" encoding="utf-8"?>
<worksheet xmlns="http://schemas.openxmlformats.org/spreadsheetml/2006/main">
  <dimension ref="A1"/>
  <sheetViews>
    <sheetView workbookViewId="0"/>
  </sheetViews>
  <cols>
    <col customWidth="true" max="7" min="1" width="22"/>
  </cols>
  <sheetData>
    <row r="1">
      <c r="A1" s="2" t="s">
        <v>62</v>
      </c>
      <c r="B1" s="2" t="s">
        <v>114</v>
      </c>
      <c r="C1" s="2" t="s">
        <v>115</v>
      </c>
      <c r="D1" s="2" t="s">
        <v>116</v>
      </c>
      <c r="E1" s="2" t="s">
        <v>117</v>
      </c>
      <c r="F1" s="2" t="s">
        <v>118</v>
      </c>
      <c r="G1" s="2" t="s">
        <v>173</v>
      </c>
    </row>
    <row r="2">
      <c r="A2" s="3" t="s">
        <v>174</v>
      </c>
      <c r="B2" s="3">
        <f>'关键指标总览'!B2</f>
        <v>98.00000000000001</v>
      </c>
      <c r="C2" s="3">
        <f>'关键指标总览'!C2</f>
        <v>221.00000000000006</v>
      </c>
      <c r="D2" s="3">
        <f>'关键指标总览'!D2</f>
        <v>372.00000000000006</v>
      </c>
      <c r="E2" s="3">
        <f>'关键指标总览'!E2</f>
        <v>550.0000000000001</v>
      </c>
      <c r="F2" s="3">
        <f>'关键指标总览'!F2</f>
        <v>550.0000000000001</v>
      </c>
      <c r="G2" s="3" t="s">
        <v>175</v>
      </c>
    </row>
    <row r="3">
      <c r="A3" s="3" t="s">
        <v>176</v>
      </c>
      <c r="B3" s="3">
        <f>'关键指标总览'!B3</f>
        <v>98.00000000000001</v>
      </c>
      <c r="C3" s="3">
        <f>'关键指标总览'!C3</f>
        <v>123.00000000000003</v>
      </c>
      <c r="D3" s="3">
        <f>'关键指标总览'!D3</f>
        <v>151.00000000000003</v>
      </c>
      <c r="E3" s="3">
        <f>'关键指标总览'!E3</f>
        <v>178.00000000000003</v>
      </c>
      <c r="F3" s="3">
        <f>'关键指标总览'!F3</f>
      </c>
      <c r="G3" s="3" t="s">
        <v>177</v>
      </c>
    </row>
    <row r="4">
      <c r="A4" s="3" t="s">
        <v>178</v>
      </c>
      <c r="B4" s="3">
        <f>'关键指标总览'!B4</f>
      </c>
      <c r="C4" s="3">
        <f>'关键指标总览'!C4</f>
        <v>0.2551020408163267</v>
      </c>
      <c r="D4" s="3">
        <f>'关键指标总览'!D4</f>
        <v>0.22764227642276413</v>
      </c>
      <c r="E4" s="3">
        <f>'关键指标总览'!E4</f>
        <v>0.17880794701986757</v>
      </c>
      <c r="F4" s="3">
        <f>'关键指标总览'!F4</f>
      </c>
      <c r="G4" s="3" t="s">
        <v>179</v>
      </c>
    </row>
    <row r="5">
      <c r="A5" s="3" t="s">
        <v>180</v>
      </c>
      <c r="B5" s="3">
        <f>'关键指标总览'!B5</f>
        <v>0.7755102040816327</v>
      </c>
      <c r="C5" s="3">
        <f>'关键指标总览'!C5</f>
        <v>0.7760180995475113</v>
      </c>
      <c r="D5" s="3">
        <f>'关键指标总览'!D5</f>
        <v>0.771236559139785</v>
      </c>
      <c r="E5" s="3">
        <f>'关键指标总览'!E5</f>
        <v>0.7667272727272727</v>
      </c>
      <c r="F5" s="3">
        <f>'关键指标总览'!F5</f>
        <v>0.7667272727272727</v>
      </c>
      <c r="G5" s="3" t="s">
        <v>181</v>
      </c>
    </row>
    <row r="6">
      <c r="A6" s="3" t="s">
        <v>182</v>
      </c>
      <c r="B6" s="3">
        <f>'关键指标总览'!B6</f>
        <v>13.720000000000002</v>
      </c>
      <c r="C6" s="3">
        <f>'关键指标总览'!C6</f>
        <v>36.470000000000006</v>
      </c>
      <c r="D6" s="3">
        <f>'关键指标总览'!D6</f>
        <v>69.20000000000002</v>
      </c>
      <c r="E6" s="3">
        <f>'关键指标总览'!E6</f>
        <v>111.51000000000002</v>
      </c>
      <c r="F6" s="3">
        <f>'关键指标总览'!F6</f>
        <v>111.51000000000002</v>
      </c>
      <c r="G6" s="3" t="s">
        <v>183</v>
      </c>
    </row>
    <row r="7">
      <c r="A7" s="3" t="s">
        <v>184</v>
      </c>
      <c r="B7" s="3">
        <f>'关键指标总览'!B7</f>
        <v>12.680000000000003</v>
      </c>
      <c r="C7" s="3">
        <f>'关键指标总览'!C7</f>
        <v>32.7</v>
      </c>
      <c r="D7" s="3">
        <f>'关键指标总览'!D7</f>
        <v>61.29000000000001</v>
      </c>
      <c r="E7" s="3">
        <f>'关键指标总览'!E7</f>
        <v>98.52000000000002</v>
      </c>
      <c r="F7" s="3">
        <f>'关键指标总览'!F7</f>
        <v>98.52000000000002</v>
      </c>
      <c r="G7" s="3" t="s">
        <v>185</v>
      </c>
    </row>
    <row r="8">
      <c r="A8" s="3" t="s">
        <v>186</v>
      </c>
      <c r="B8" s="3">
        <f>'关键指标总览'!B8</f>
        <v>0.12938775510204084</v>
      </c>
      <c r="C8" s="3">
        <f>'关键指标总览'!C8</f>
        <v>0.14796380090497735</v>
      </c>
      <c r="D8" s="3">
        <f>'关键指标总览'!D8</f>
        <v>0.16475806451612904</v>
      </c>
      <c r="E8" s="3">
        <f>'关键指标总览'!E8</f>
        <v>0.17912727272727275</v>
      </c>
      <c r="F8" s="3">
        <f>'关键指标总览'!F8</f>
        <v>0.17912727272727275</v>
      </c>
      <c r="G8" s="3" t="s">
        <v>185</v>
      </c>
    </row>
    <row r="9">
      <c r="A9" s="3" t="s">
        <v>187</v>
      </c>
      <c r="B9" s="3">
        <f>'关键指标总览'!B9</f>
        <v>18.000000000000004</v>
      </c>
      <c r="C9" s="3">
        <f>'关键指标总览'!C9</f>
        <v>40.20000000000001</v>
      </c>
      <c r="D9" s="3">
        <f>'关键指标总览'!D9</f>
        <v>72.20000000000002</v>
      </c>
      <c r="E9" s="3">
        <f>'关键指标总览'!E9</f>
        <v>110.50000000000003</v>
      </c>
      <c r="F9" s="3">
        <f>'关键指标总览'!F9</f>
        <v>110.50000000000003</v>
      </c>
      <c r="G9" s="3" t="s">
        <v>188</v>
      </c>
    </row>
    <row r="10">
      <c r="A10" s="3" t="s">
        <v>189</v>
      </c>
      <c r="B10" s="3">
        <f>'关键指标总览'!B10</f>
        <v>1.419558359621451</v>
      </c>
      <c r="C10" s="3">
        <f>'关键指标总览'!C10</f>
        <v>1.1088911088911089</v>
      </c>
      <c r="D10" s="3">
        <f>'关键指标总览'!D10</f>
        <v>1.1192724728926198</v>
      </c>
      <c r="E10" s="3">
        <f>'关键指标总览'!E10</f>
        <v>1.0284640171858215</v>
      </c>
      <c r="F10" s="3">
        <f>'关键指标总览'!F10</f>
      </c>
      <c r="G10" s="3" t="s">
        <v>190</v>
      </c>
    </row>
    <row r="11">
      <c r="A11" s="3" t="s">
        <v>191</v>
      </c>
      <c r="B11" s="3">
        <f>'关键指标总览'!B11</f>
        <v>1.419558359621451</v>
      </c>
      <c r="C11" s="3">
        <f>'关键指标总览'!C11</f>
        <v>1.2293577981651378</v>
      </c>
      <c r="D11" s="3">
        <f>'关键指标总览'!D11</f>
        <v>1.1780062000326317</v>
      </c>
      <c r="E11" s="3">
        <f>'关键指标总览'!E11</f>
        <v>1.1215996751928543</v>
      </c>
      <c r="F11" s="3">
        <f>'关键指标总览'!F11</f>
        <v>1.1215996751928543</v>
      </c>
      <c r="G11" s="3" t="s">
        <v>192</v>
      </c>
    </row>
    <row r="12">
      <c r="A12" s="3" t="s">
        <v>193</v>
      </c>
      <c r="B12" s="3">
        <f>'关键指标总览'!B12</f>
        <v>79.50000000000001</v>
      </c>
      <c r="C12" s="3">
        <f>'关键指标总览'!C12</f>
        <v>91.60000000000002</v>
      </c>
      <c r="D12" s="3">
        <f>'关键指标总览'!D12</f>
        <v>111.10000000000002</v>
      </c>
      <c r="E12" s="3">
        <f>'关键指标总览'!E12</f>
        <v>133.90000000000003</v>
      </c>
      <c r="F12" s="3">
        <f>'关键指标总览'!F12</f>
        <v>133.90000000000003</v>
      </c>
      <c r="G12" s="3" t="s">
        <v>194</v>
      </c>
    </row>
    <row r="13">
      <c r="A13" s="3" t="s">
        <v>195</v>
      </c>
      <c r="B13" s="3">
        <f>'关键指标总览'!B13</f>
        <v>216.20000000000005</v>
      </c>
      <c r="C13" s="3">
        <f>'关键指标总览'!C13</f>
        <v>242.50000000000006</v>
      </c>
      <c r="D13" s="3">
        <f>'关键指标总览'!D13</f>
        <v>278.90000000000003</v>
      </c>
      <c r="E13" s="3">
        <f>'关键指标总览'!E13</f>
        <v>319.80000000000007</v>
      </c>
      <c r="F13" s="3">
        <f>'关键指标总览'!F13</f>
        <v>319.80000000000007</v>
      </c>
      <c r="G13" s="3" t="s">
        <v>196</v>
      </c>
    </row>
    <row r="14">
      <c r="A14" s="3" t="s">
        <v>197</v>
      </c>
      <c r="B14" s="3">
        <f>'关键指标总览'!B14</f>
        <v>0.46392229417206293</v>
      </c>
      <c r="C14" s="3">
        <f>'关键指标总览'!C14</f>
        <v>0.4556701030927835</v>
      </c>
      <c r="D14" s="3">
        <f>'关键指标总览'!D14</f>
        <v>0.43456435998565796</v>
      </c>
      <c r="E14" s="3">
        <f>'关键指标总览'!E14</f>
        <v>0.40900562851782357</v>
      </c>
      <c r="F14" s="3">
        <f>'关键指标总览'!F14</f>
        <v>0.40900562851782357</v>
      </c>
      <c r="G14" s="3" t="s">
        <v>198</v>
      </c>
    </row>
    <row r="15">
      <c r="A15" s="3" t="s">
        <v>199</v>
      </c>
      <c r="B15" s="3">
        <f>'关键指标总览'!B15</f>
        <v>33.00000000000001</v>
      </c>
      <c r="C15" s="3">
        <f>'关键指标总览'!C15</f>
        <v>39.00000000000001</v>
      </c>
      <c r="D15" s="3">
        <f>'关键指标总览'!D15</f>
        <v>45.50000000000001</v>
      </c>
      <c r="E15" s="3">
        <f>'关键指标总览'!E15</f>
        <v>51.00000000000001</v>
      </c>
      <c r="F15" s="3">
        <f>'关键指标总览'!F15</f>
        <v>51.00000000000001</v>
      </c>
      <c r="G15" s="3" t="s">
        <v>196</v>
      </c>
    </row>
    <row r="16">
      <c r="A16" s="3" t="s">
        <v>200</v>
      </c>
      <c r="B16" s="3">
        <f>'关键指标总览'!B16</f>
        <v>18.000000000000004</v>
      </c>
      <c r="C16" s="3">
        <f>'关键指标总览'!C16</f>
        <v>39.50000000000001</v>
      </c>
      <c r="D16" s="3">
        <f>'关键指标总览'!D16</f>
        <v>64.00000000000001</v>
      </c>
      <c r="E16" s="3">
        <f>'关键指标总览'!E16</f>
        <v>91.50000000000001</v>
      </c>
      <c r="F16" s="3">
        <f>'关键指标总览'!F16</f>
        <v>91.50000000000001</v>
      </c>
      <c r="G16" s="3" t="s">
        <v>201</v>
      </c>
    </row>
  </sheetData>
</worksheet>
</file>

<file path=xl/worksheets/sheet12.xml><?xml version="1.0" encoding="utf-8"?>
<worksheet xmlns="http://schemas.openxmlformats.org/spreadsheetml/2006/main">
  <dimension ref="A1"/>
  <sheetViews>
    <sheetView workbookViewId="0"/>
  </sheetViews>
  <cols>
    <col customWidth="true" max="4" min="1" width="22"/>
  </cols>
  <sheetData>
    <row r="1">
      <c r="A1" s="2" t="s">
        <v>28</v>
      </c>
      <c r="B1" s="2" t="s">
        <v>202</v>
      </c>
      <c r="C1" s="2" t="s">
        <v>203</v>
      </c>
      <c r="D1" s="2" t="s">
        <v>204</v>
      </c>
    </row>
    <row r="2">
      <c r="A2" s="3" t="s">
        <v>205</v>
      </c>
      <c r="B2" s="3" t="s">
        <v>206</v>
      </c>
      <c r="C2" s="3" t="s">
        <v>207</v>
      </c>
      <c r="D2" s="3" t="s">
        <v>208</v>
      </c>
    </row>
    <row r="3">
      <c r="A3" s="3" t="s">
        <v>209</v>
      </c>
      <c r="B3" s="3" t="s">
        <v>210</v>
      </c>
      <c r="C3" s="3" t="s">
        <v>211</v>
      </c>
      <c r="D3" s="3" t="s">
        <v>212</v>
      </c>
    </row>
    <row r="4">
      <c r="A4" s="3" t="s">
        <v>213</v>
      </c>
      <c r="B4" s="3" t="s">
        <v>214</v>
      </c>
      <c r="C4" s="3" t="s">
        <v>215</v>
      </c>
      <c r="D4" s="3" t="s">
        <v>216</v>
      </c>
    </row>
    <row r="5">
      <c r="A5" s="3" t="s">
        <v>217</v>
      </c>
      <c r="B5" s="3" t="s">
        <v>218</v>
      </c>
      <c r="C5" s="3" t="s">
        <v>219</v>
      </c>
      <c r="D5" s="3" t="s">
        <v>220</v>
      </c>
    </row>
    <row r="6">
      <c r="A6" s="3" t="s">
        <v>221</v>
      </c>
      <c r="B6" s="3" t="s">
        <v>222</v>
      </c>
      <c r="C6" s="3" t="s">
        <v>223</v>
      </c>
      <c r="D6" s="3" t="s">
        <v>224</v>
      </c>
    </row>
    <row r="7">
      <c r="A7" s="3" t="s">
        <v>225</v>
      </c>
      <c r="B7" s="3" t="s">
        <v>226</v>
      </c>
      <c r="C7" s="3" t="s">
        <v>227</v>
      </c>
      <c r="D7" s="3" t="s">
        <v>228</v>
      </c>
    </row>
  </sheetData>
</worksheet>
</file>

<file path=xl/worksheets/sheet13.xml><?xml version="1.0" encoding="utf-8"?>
<worksheet xmlns="http://schemas.openxmlformats.org/spreadsheetml/2006/main">
  <dimension ref="A1"/>
  <sheetViews>
    <sheetView workbookViewId="0"/>
  </sheetViews>
  <cols>
    <col customWidth="true" max="3" min="1" width="22"/>
  </cols>
  <sheetData>
    <row r="1">
      <c r="A1" s="2" t="s">
        <v>229</v>
      </c>
      <c r="B1" s="2" t="s">
        <v>230</v>
      </c>
      <c r="C1" s="2" t="s">
        <v>231</v>
      </c>
    </row>
    <row r="2">
      <c r="A2" s="3" t="s">
        <v>232</v>
      </c>
      <c r="B2" s="3" t="s">
        <v>233</v>
      </c>
      <c r="C2" s="3" t="s">
        <v>234</v>
      </c>
    </row>
    <row r="3">
      <c r="A3" s="3" t="s">
        <v>235</v>
      </c>
      <c r="B3" s="3" t="s">
        <v>233</v>
      </c>
      <c r="C3" s="3" t="s">
        <v>236</v>
      </c>
    </row>
    <row r="4">
      <c r="A4" s="3" t="s">
        <v>237</v>
      </c>
      <c r="B4" s="3" t="s">
        <v>233</v>
      </c>
      <c r="C4" s="3" t="s">
        <v>238</v>
      </c>
    </row>
    <row r="5">
      <c r="A5" s="3" t="s">
        <v>239</v>
      </c>
      <c r="B5" s="3" t="s">
        <v>233</v>
      </c>
      <c r="C5" s="3" t="s">
        <v>240</v>
      </c>
    </row>
    <row r="6">
      <c r="A6" s="3" t="s">
        <v>241</v>
      </c>
      <c r="B6" s="3" t="s">
        <v>233</v>
      </c>
      <c r="C6" s="3" t="s">
        <v>242</v>
      </c>
    </row>
    <row r="7">
      <c r="A7" s="3" t="s">
        <v>239</v>
      </c>
      <c r="B7" s="3" t="s">
        <v>233</v>
      </c>
      <c r="C7" s="3" t="s">
        <v>243</v>
      </c>
    </row>
    <row r="8">
      <c r="A8" s="3" t="s">
        <v>241</v>
      </c>
      <c r="B8" s="3" t="s">
        <v>233</v>
      </c>
      <c r="C8" s="3" t="s">
        <v>244</v>
      </c>
    </row>
    <row r="9">
      <c r="A9" s="3" t="s">
        <v>239</v>
      </c>
      <c r="B9" s="3" t="s">
        <v>233</v>
      </c>
      <c r="C9" s="3" t="s">
        <v>245</v>
      </c>
    </row>
    <row r="10">
      <c r="A10" s="3" t="s">
        <v>241</v>
      </c>
      <c r="B10" s="3" t="s">
        <v>233</v>
      </c>
      <c r="C10" s="3" t="s">
        <v>246</v>
      </c>
    </row>
    <row r="11">
      <c r="A11" s="3" t="s">
        <v>239</v>
      </c>
      <c r="B11" s="3" t="s">
        <v>233</v>
      </c>
      <c r="C11" s="3" t="s">
        <v>247</v>
      </c>
    </row>
    <row r="12">
      <c r="A12" s="3" t="s">
        <v>241</v>
      </c>
      <c r="B12" s="3" t="s">
        <v>233</v>
      </c>
      <c r="C12" s="3" t="s">
        <v>248</v>
      </c>
    </row>
    <row r="13">
      <c r="A13" s="3" t="s">
        <v>249</v>
      </c>
      <c r="B13" s="3" t="s">
        <v>250</v>
      </c>
      <c r="C13" s="3" t="s">
        <v>251</v>
      </c>
    </row>
    <row r="14">
      <c r="A14" s="3" t="s">
        <v>252</v>
      </c>
      <c r="B14" s="3" t="s">
        <v>253</v>
      </c>
      <c r="C14" s="3" t="s">
        <v>254</v>
      </c>
    </row>
  </sheetData>
</worksheet>
</file>

<file path=xl/worksheets/sheet14.xml><?xml version="1.0" encoding="utf-8"?>
<worksheet xmlns="http://schemas.openxmlformats.org/spreadsheetml/2006/main">
  <dimension ref="A1"/>
  <sheetViews>
    <sheetView workbookViewId="0"/>
  </sheetViews>
  <cols>
    <col customWidth="true" max="6" min="1" width="22"/>
  </cols>
  <sheetData>
    <row r="1">
      <c r="A1" s="2" t="s">
        <v>62</v>
      </c>
      <c r="B1" s="2" t="s">
        <v>255</v>
      </c>
      <c r="C1" s="2" t="s">
        <v>256</v>
      </c>
      <c r="D1" s="2" t="s">
        <v>257</v>
      </c>
      <c r="E1" s="2" t="s">
        <v>258</v>
      </c>
      <c r="F1" s="2" t="s">
        <v>259</v>
      </c>
    </row>
    <row r="2">
      <c r="A2" s="3" t="s">
        <v>69</v>
      </c>
      <c r="B2" s="3" t="s">
        <v>117</v>
      </c>
      <c r="C2" s="3" t="s">
        <v>260</v>
      </c>
      <c r="D2" s="3" t="s">
        <v>261</v>
      </c>
      <c r="E2" s="3">
        <f>利润分析!E2</f>
        <v>178.00000000000003</v>
      </c>
      <c r="F2" s="3" t="s">
        <v>262</v>
      </c>
    </row>
    <row r="3">
      <c r="A3" s="3" t="s">
        <v>69</v>
      </c>
      <c r="B3" s="3" t="s">
        <v>67</v>
      </c>
      <c r="C3" s="3" t="s">
        <v>263</v>
      </c>
      <c r="D3" s="3" t="s">
        <v>261</v>
      </c>
      <c r="E3" s="3">
        <f>利润分析!F2</f>
        <v>550.0000000000001</v>
      </c>
      <c r="F3" s="3" t="s">
        <v>264</v>
      </c>
    </row>
    <row r="4">
      <c r="A4" s="3" t="s">
        <v>87</v>
      </c>
      <c r="B4" s="3" t="s">
        <v>117</v>
      </c>
      <c r="C4" s="3" t="s">
        <v>260</v>
      </c>
      <c r="D4" s="3" t="s">
        <v>261</v>
      </c>
      <c r="E4" s="3">
        <f>利润分析!E11</f>
        <v>37.24000000000001</v>
      </c>
      <c r="F4" s="3" t="s">
        <v>265</v>
      </c>
    </row>
    <row r="5">
      <c r="A5" s="3" t="s">
        <v>87</v>
      </c>
      <c r="B5" s="3" t="s">
        <v>67</v>
      </c>
      <c r="C5" s="3" t="s">
        <v>263</v>
      </c>
      <c r="D5" s="3" t="s">
        <v>261</v>
      </c>
      <c r="E5" s="3">
        <f>利润分析!F11</f>
        <v>98.53000000000002</v>
      </c>
      <c r="F5" s="3" t="s">
        <v>266</v>
      </c>
    </row>
    <row r="6">
      <c r="A6" s="3" t="s">
        <v>119</v>
      </c>
      <c r="B6" s="3" t="s">
        <v>67</v>
      </c>
      <c r="C6" s="3" t="s">
        <v>267</v>
      </c>
      <c r="D6" s="3" t="s">
        <v>261</v>
      </c>
      <c r="E6" s="3">
        <f>关键指标总览!F8</f>
        <v>0.17912727272727275</v>
      </c>
      <c r="F6" s="3" t="s">
        <v>268</v>
      </c>
    </row>
    <row r="7">
      <c r="A7" s="3" t="s">
        <v>126</v>
      </c>
      <c r="B7" s="3" t="s">
        <v>117</v>
      </c>
      <c r="C7" s="3" t="s">
        <v>269</v>
      </c>
      <c r="D7" s="3" t="s">
        <v>261</v>
      </c>
      <c r="E7" s="3">
        <f>资产负债分析!D2</f>
        <v>133.90000000000003</v>
      </c>
      <c r="F7" s="3" t="s">
        <v>270</v>
      </c>
    </row>
    <row r="8">
      <c r="A8" s="3" t="s">
        <v>102</v>
      </c>
      <c r="B8" s="3" t="s">
        <v>117</v>
      </c>
      <c r="C8" s="3" t="s">
        <v>269</v>
      </c>
      <c r="D8" s="3" t="s">
        <v>261</v>
      </c>
      <c r="E8" s="3">
        <f>资产负债分析!D5</f>
        <v>319.80000000000007</v>
      </c>
      <c r="F8" s="3" t="s">
        <v>271</v>
      </c>
    </row>
    <row r="9">
      <c r="A9" s="3" t="s">
        <v>112</v>
      </c>
      <c r="B9" s="3" t="s">
        <v>117</v>
      </c>
      <c r="C9" s="3" t="s">
        <v>269</v>
      </c>
      <c r="D9" s="3" t="s">
        <v>272</v>
      </c>
      <c r="E9" s="3">
        <f>资产负债分析!D10</f>
        <v>0.40900562851782357</v>
      </c>
      <c r="F9" s="3" t="s">
        <v>273</v>
      </c>
    </row>
    <row r="10">
      <c r="A10" s="3" t="s">
        <v>79</v>
      </c>
      <c r="B10" s="3" t="s">
        <v>67</v>
      </c>
      <c r="C10" s="3" t="s">
        <v>267</v>
      </c>
      <c r="D10" s="3" t="s">
        <v>261</v>
      </c>
      <c r="E10" s="3">
        <f>关键指标总览!F15</f>
        <v>51.00000000000001</v>
      </c>
      <c r="F10" s="3" t="s">
        <v>274</v>
      </c>
    </row>
    <row r="11">
      <c r="A11" s="3" t="s">
        <v>98</v>
      </c>
      <c r="B11" s="3" t="s">
        <v>117</v>
      </c>
      <c r="C11" s="3" t="s">
        <v>269</v>
      </c>
      <c r="D11" s="3" t="s">
        <v>261</v>
      </c>
      <c r="E11" s="3">
        <f>关键指标总览!F14</f>
        <v>0.40900562851782357</v>
      </c>
      <c r="F11" s="3" t="s">
        <v>275</v>
      </c>
    </row>
  </sheetData>
</worksheet>
</file>

<file path=xl/worksheets/sheet15.xml><?xml version="1.0" encoding="utf-8"?>
<worksheet xmlns="http://schemas.openxmlformats.org/spreadsheetml/2006/main">
  <dimension ref="A1"/>
  <sheetViews>
    <sheetView workbookViewId="0"/>
  </sheetViews>
  <cols>
    <col customWidth="true" max="2" min="1" width="22"/>
  </cols>
  <sheetData>
    <row r="1">
      <c r="A1" s="2" t="s">
        <v>128</v>
      </c>
      <c r="B1" s="2" t="s">
        <v>231</v>
      </c>
    </row>
    <row r="2">
      <c r="A2" s="3" t="s">
        <v>23</v>
      </c>
      <c r="B2" s="3" t="s">
        <v>276</v>
      </c>
    </row>
    <row r="3">
      <c r="A3" s="3" t="s">
        <v>277</v>
      </c>
      <c r="B3" s="3" t="s">
        <v>278</v>
      </c>
    </row>
    <row r="4">
      <c r="A4" s="3" t="s">
        <v>279</v>
      </c>
      <c r="B4" s="3" t="s">
        <v>280</v>
      </c>
    </row>
    <row r="5">
      <c r="A5" s="3" t="s">
        <v>281</v>
      </c>
      <c r="B5" s="3" t="s">
        <v>282</v>
      </c>
    </row>
  </sheetData>
</worksheet>
</file>

<file path=xl/worksheets/sheet16.xml><?xml version="1.0" encoding="utf-8"?>
<worksheet xmlns="http://schemas.openxmlformats.org/spreadsheetml/2006/main">
  <dimension ref="A1"/>
  <sheetViews>
    <sheetView workbookViewId="0"/>
  </sheetViews>
  <cols>
    <col customWidth="true" max="4" min="1" width="22"/>
  </cols>
  <sheetData>
    <row r="1">
      <c r="A1" s="3" t="s">
        <v>283</v>
      </c>
      <c r="B1" s="3" t="s">
        <v>27</v>
      </c>
      <c r="C1" s="3" t="s">
        <v>27</v>
      </c>
      <c r="D1" s="3" t="s">
        <v>27</v>
      </c>
    </row>
    <row r="2">
      <c r="A2" s="3" t="s">
        <v>284</v>
      </c>
      <c r="B2" s="3" t="s">
        <v>285</v>
      </c>
      <c r="C2" s="3" t="s">
        <v>27</v>
      </c>
      <c r="D2" s="3" t="s">
        <v>286</v>
      </c>
    </row>
    <row r="3">
      <c r="A3" s="2" t="s">
        <v>0</v>
      </c>
      <c r="B3" s="2" t="s">
        <v>287</v>
      </c>
      <c r="C3" s="2" t="s">
        <v>288</v>
      </c>
      <c r="D3" s="2" t="s">
        <v>289</v>
      </c>
    </row>
    <row r="4">
      <c r="A4" s="3" t="s">
        <v>290</v>
      </c>
      <c r="B4" s="3" t="s">
        <v>291</v>
      </c>
      <c r="C4" s="3" t="s">
        <v>292</v>
      </c>
      <c r="D4" s="3" t="s">
        <v>292</v>
      </c>
    </row>
    <row r="5">
      <c r="A5" s="3" t="s">
        <v>293</v>
      </c>
      <c r="B5" s="3" t="s">
        <v>294</v>
      </c>
      <c r="C5" s="3" t="s">
        <v>295</v>
      </c>
      <c r="D5" s="3" t="s">
        <v>295</v>
      </c>
    </row>
    <row r="6">
      <c r="A6" s="3" t="s">
        <v>296</v>
      </c>
      <c r="B6" s="3" t="s">
        <v>297</v>
      </c>
      <c r="C6" s="3" t="s">
        <v>298</v>
      </c>
      <c r="D6" s="3" t="s">
        <v>298</v>
      </c>
    </row>
    <row r="7">
      <c r="A7" s="3" t="s">
        <v>299</v>
      </c>
      <c r="B7" s="3" t="s">
        <v>300</v>
      </c>
      <c r="C7" s="3" t="s">
        <v>27</v>
      </c>
      <c r="D7" s="3" t="s">
        <v>27</v>
      </c>
    </row>
    <row r="8">
      <c r="A8" s="3" t="s">
        <v>301</v>
      </c>
      <c r="B8" s="3" t="s">
        <v>302</v>
      </c>
      <c r="C8" s="3" t="s">
        <v>27</v>
      </c>
      <c r="D8" s="3" t="s">
        <v>27</v>
      </c>
    </row>
    <row r="9">
      <c r="A9" s="3" t="s">
        <v>303</v>
      </c>
      <c r="B9" s="3" t="s">
        <v>304</v>
      </c>
      <c r="C9" s="3" t="s">
        <v>27</v>
      </c>
      <c r="D9" s="3" t="s">
        <v>27</v>
      </c>
    </row>
    <row r="10">
      <c r="A10" s="3" t="s">
        <v>305</v>
      </c>
      <c r="B10" s="3" t="s">
        <v>306</v>
      </c>
      <c r="C10" s="3" t="s">
        <v>27</v>
      </c>
      <c r="D10" s="3" t="s">
        <v>27</v>
      </c>
    </row>
    <row r="11">
      <c r="A11" s="3" t="s">
        <v>307</v>
      </c>
      <c r="B11" s="3" t="s">
        <v>308</v>
      </c>
      <c r="C11" s="3" t="s">
        <v>27</v>
      </c>
      <c r="D11" s="3" t="s">
        <v>27</v>
      </c>
    </row>
    <row r="12">
      <c r="A12" s="3" t="s">
        <v>309</v>
      </c>
      <c r="B12" s="3" t="s">
        <v>310</v>
      </c>
      <c r="C12" s="3" t="s">
        <v>27</v>
      </c>
      <c r="D12" s="3" t="s">
        <v>27</v>
      </c>
    </row>
    <row r="13">
      <c r="A13" s="3" t="s">
        <v>311</v>
      </c>
      <c r="B13" s="3" t="s">
        <v>312</v>
      </c>
      <c r="C13" s="3" t="s">
        <v>27</v>
      </c>
      <c r="D13" s="3" t="s">
        <v>27</v>
      </c>
    </row>
    <row r="14">
      <c r="A14" s="3" t="s">
        <v>77</v>
      </c>
      <c r="B14" s="3" t="s">
        <v>313</v>
      </c>
      <c r="C14" s="3" t="s">
        <v>314</v>
      </c>
      <c r="D14" s="3" t="s">
        <v>314</v>
      </c>
    </row>
    <row r="15">
      <c r="A15" s="3" t="s">
        <v>315</v>
      </c>
      <c r="B15" s="3" t="s">
        <v>316</v>
      </c>
      <c r="C15" s="3" t="s">
        <v>27</v>
      </c>
      <c r="D15" s="3" t="s">
        <v>27</v>
      </c>
    </row>
    <row r="16">
      <c r="A16" s="3" t="s">
        <v>317</v>
      </c>
      <c r="B16" s="3" t="s">
        <v>318</v>
      </c>
      <c r="C16" s="3" t="s">
        <v>319</v>
      </c>
      <c r="D16" s="3" t="s">
        <v>319</v>
      </c>
    </row>
    <row r="17">
      <c r="A17" s="3" t="s">
        <v>81</v>
      </c>
      <c r="B17" s="3" t="s">
        <v>320</v>
      </c>
      <c r="C17" s="3" t="s">
        <v>321</v>
      </c>
      <c r="D17" s="3" t="s">
        <v>321</v>
      </c>
    </row>
    <row r="18">
      <c r="A18" s="3" t="s">
        <v>322</v>
      </c>
      <c r="B18" s="3" t="s">
        <v>323</v>
      </c>
      <c r="C18" s="3" t="s">
        <v>27</v>
      </c>
      <c r="D18" s="3" t="s">
        <v>27</v>
      </c>
    </row>
    <row r="19">
      <c r="A19" s="3" t="s">
        <v>324</v>
      </c>
      <c r="B19" s="3" t="s">
        <v>325</v>
      </c>
      <c r="C19" s="3" t="s">
        <v>326</v>
      </c>
      <c r="D19" s="3" t="s">
        <v>326</v>
      </c>
    </row>
    <row r="20">
      <c r="A20" s="3" t="s">
        <v>79</v>
      </c>
      <c r="B20" s="3" t="s">
        <v>327</v>
      </c>
      <c r="C20" s="3" t="s">
        <v>328</v>
      </c>
      <c r="D20" s="3" t="s">
        <v>328</v>
      </c>
    </row>
    <row r="21">
      <c r="A21" s="3" t="s">
        <v>83</v>
      </c>
      <c r="B21" s="3" t="s">
        <v>329</v>
      </c>
      <c r="C21" s="3" t="s">
        <v>330</v>
      </c>
      <c r="D21" s="3" t="s">
        <v>330</v>
      </c>
    </row>
    <row r="22">
      <c r="A22" s="3" t="s">
        <v>331</v>
      </c>
      <c r="B22" s="3" t="s">
        <v>332</v>
      </c>
      <c r="C22" s="3" t="s">
        <v>330</v>
      </c>
      <c r="D22" s="3" t="s">
        <v>330</v>
      </c>
    </row>
    <row r="23">
      <c r="A23" s="3" t="s">
        <v>333</v>
      </c>
      <c r="B23" s="3" t="s">
        <v>334</v>
      </c>
      <c r="C23" s="3" t="s">
        <v>27</v>
      </c>
      <c r="D23" s="3" t="s">
        <v>27</v>
      </c>
    </row>
    <row r="24">
      <c r="A24" s="3" t="s">
        <v>335</v>
      </c>
      <c r="B24" s="3" t="s">
        <v>336</v>
      </c>
      <c r="C24" s="3" t="s">
        <v>337</v>
      </c>
      <c r="D24" s="3" t="s">
        <v>337</v>
      </c>
    </row>
    <row r="25">
      <c r="A25" s="3" t="s">
        <v>338</v>
      </c>
      <c r="B25" s="3" t="s">
        <v>339</v>
      </c>
      <c r="C25" s="3" t="s">
        <v>340</v>
      </c>
      <c r="D25" s="3" t="s">
        <v>340</v>
      </c>
    </row>
    <row r="26">
      <c r="A26" s="3" t="s">
        <v>341</v>
      </c>
      <c r="B26" s="3" t="s">
        <v>342</v>
      </c>
      <c r="C26" s="3" t="s">
        <v>27</v>
      </c>
      <c r="D26" s="3" t="s">
        <v>27</v>
      </c>
    </row>
    <row r="27">
      <c r="A27" s="3" t="s">
        <v>343</v>
      </c>
      <c r="B27" s="3" t="s">
        <v>344</v>
      </c>
      <c r="C27" s="3" t="s">
        <v>27</v>
      </c>
      <c r="D27" s="3" t="s">
        <v>27</v>
      </c>
    </row>
    <row r="28">
      <c r="A28" s="3" t="s">
        <v>345</v>
      </c>
      <c r="B28" s="3" t="s">
        <v>346</v>
      </c>
      <c r="C28" s="3" t="s">
        <v>27</v>
      </c>
      <c r="D28" s="3" t="s">
        <v>27</v>
      </c>
    </row>
    <row r="29">
      <c r="A29" s="3" t="s">
        <v>347</v>
      </c>
      <c r="B29" s="3" t="s">
        <v>348</v>
      </c>
      <c r="C29" s="3" t="s">
        <v>27</v>
      </c>
      <c r="D29" s="3" t="s">
        <v>27</v>
      </c>
    </row>
    <row r="30">
      <c r="A30" s="3" t="s">
        <v>349</v>
      </c>
      <c r="B30" s="3" t="s">
        <v>350</v>
      </c>
      <c r="C30" s="3" t="s">
        <v>27</v>
      </c>
      <c r="D30" s="3" t="s">
        <v>27</v>
      </c>
    </row>
    <row r="31">
      <c r="A31" s="3" t="s">
        <v>351</v>
      </c>
      <c r="B31" s="3" t="s">
        <v>352</v>
      </c>
      <c r="C31" s="3" t="s">
        <v>27</v>
      </c>
      <c r="D31" s="3" t="s">
        <v>27</v>
      </c>
    </row>
    <row r="32">
      <c r="A32" s="3" t="s">
        <v>353</v>
      </c>
      <c r="B32" s="3" t="s">
        <v>354</v>
      </c>
      <c r="C32" s="3" t="s">
        <v>27</v>
      </c>
      <c r="D32" s="3" t="s">
        <v>27</v>
      </c>
    </row>
    <row r="33">
      <c r="A33" s="3" t="s">
        <v>355</v>
      </c>
      <c r="B33" s="3" t="s">
        <v>356</v>
      </c>
      <c r="C33" s="3" t="s">
        <v>357</v>
      </c>
      <c r="D33" s="3" t="s">
        <v>357</v>
      </c>
    </row>
    <row r="34">
      <c r="A34" s="3" t="s">
        <v>358</v>
      </c>
      <c r="B34" s="3" t="s">
        <v>359</v>
      </c>
      <c r="C34" s="3" t="s">
        <v>360</v>
      </c>
      <c r="D34" s="3" t="s">
        <v>360</v>
      </c>
    </row>
    <row r="35">
      <c r="A35" s="3" t="s">
        <v>361</v>
      </c>
      <c r="B35" s="3" t="s">
        <v>362</v>
      </c>
      <c r="C35" s="3" t="s">
        <v>363</v>
      </c>
      <c r="D35" s="3" t="s">
        <v>363</v>
      </c>
    </row>
  </sheetData>
</worksheet>
</file>

<file path=xl/worksheets/sheet17.xml><?xml version="1.0" encoding="utf-8"?>
<worksheet xmlns="http://schemas.openxmlformats.org/spreadsheetml/2006/main">
  <dimension ref="A1"/>
  <sheetViews>
    <sheetView workbookViewId="0"/>
  </sheetViews>
  <cols>
    <col customWidth="true" max="4" min="1" width="22"/>
  </cols>
  <sheetData>
    <row r="1">
      <c r="A1" s="3" t="s">
        <v>364</v>
      </c>
      <c r="B1" s="3" t="s">
        <v>27</v>
      </c>
      <c r="C1" s="3" t="s">
        <v>27</v>
      </c>
      <c r="D1" s="3" t="s">
        <v>27</v>
      </c>
    </row>
    <row r="2">
      <c r="A2" s="3" t="s">
        <v>284</v>
      </c>
      <c r="B2" s="3">
        <v>45747</v>
      </c>
      <c r="C2" s="3" t="s">
        <v>27</v>
      </c>
      <c r="D2" s="3" t="s">
        <v>286</v>
      </c>
    </row>
    <row r="3">
      <c r="A3" s="2" t="s">
        <v>0</v>
      </c>
      <c r="B3" s="2" t="s">
        <v>287</v>
      </c>
      <c r="C3" s="2" t="s">
        <v>365</v>
      </c>
      <c r="D3" s="2" t="s">
        <v>366</v>
      </c>
    </row>
    <row r="4">
      <c r="A4" s="3" t="s">
        <v>96</v>
      </c>
      <c r="B4" s="3" t="s">
        <v>291</v>
      </c>
      <c r="C4" s="3" t="s">
        <v>367</v>
      </c>
      <c r="D4" s="3" t="s">
        <v>368</v>
      </c>
    </row>
    <row r="5">
      <c r="A5" s="3" t="s">
        <v>369</v>
      </c>
      <c r="B5" s="3" t="s">
        <v>359</v>
      </c>
      <c r="C5" s="3" t="s">
        <v>27</v>
      </c>
      <c r="D5" s="3" t="s">
        <v>27</v>
      </c>
    </row>
    <row r="6">
      <c r="A6" s="3" t="s">
        <v>370</v>
      </c>
      <c r="B6" s="3" t="s">
        <v>294</v>
      </c>
      <c r="C6" s="3" t="s">
        <v>27</v>
      </c>
      <c r="D6" s="3" t="s">
        <v>27</v>
      </c>
    </row>
    <row r="7">
      <c r="A7" s="3" t="s">
        <v>371</v>
      </c>
      <c r="B7" s="3" t="s">
        <v>362</v>
      </c>
      <c r="C7" s="3" t="s">
        <v>27</v>
      </c>
      <c r="D7" s="3" t="s">
        <v>27</v>
      </c>
    </row>
    <row r="8">
      <c r="A8" s="3" t="s">
        <v>372</v>
      </c>
      <c r="B8" s="3" t="s">
        <v>297</v>
      </c>
      <c r="C8" s="3" t="s">
        <v>27</v>
      </c>
      <c r="D8" s="3" t="s">
        <v>27</v>
      </c>
    </row>
    <row r="9">
      <c r="A9" s="3" t="s">
        <v>104</v>
      </c>
      <c r="B9" s="3" t="s">
        <v>373</v>
      </c>
      <c r="C9" s="3" t="s">
        <v>374</v>
      </c>
      <c r="D9" s="3" t="s">
        <v>328</v>
      </c>
    </row>
    <row r="10">
      <c r="A10" s="3" t="s">
        <v>98</v>
      </c>
      <c r="B10" s="3" t="s">
        <v>300</v>
      </c>
      <c r="C10" s="3" t="s">
        <v>375</v>
      </c>
      <c r="D10" s="3" t="s">
        <v>376</v>
      </c>
    </row>
    <row r="11">
      <c r="A11" s="3" t="s">
        <v>377</v>
      </c>
      <c r="B11" s="3" t="s">
        <v>378</v>
      </c>
      <c r="C11" s="3" t="s">
        <v>379</v>
      </c>
      <c r="D11" s="3" t="s">
        <v>380</v>
      </c>
    </row>
    <row r="12">
      <c r="A12" s="3" t="s">
        <v>381</v>
      </c>
      <c r="B12" s="3" t="s">
        <v>302</v>
      </c>
      <c r="C12" s="3" t="s">
        <v>380</v>
      </c>
      <c r="D12" s="3" t="s">
        <v>382</v>
      </c>
    </row>
    <row r="13">
      <c r="A13" s="3" t="s">
        <v>383</v>
      </c>
      <c r="B13" s="3" t="s">
        <v>384</v>
      </c>
      <c r="C13" s="3" t="s">
        <v>385</v>
      </c>
      <c r="D13" s="3" t="s">
        <v>314</v>
      </c>
    </row>
    <row r="14">
      <c r="A14" s="3" t="s">
        <v>386</v>
      </c>
      <c r="B14" s="3" t="s">
        <v>304</v>
      </c>
      <c r="C14" s="3" t="s">
        <v>27</v>
      </c>
      <c r="D14" s="3" t="s">
        <v>27</v>
      </c>
    </row>
    <row r="15">
      <c r="A15" s="3" t="s">
        <v>387</v>
      </c>
      <c r="B15" s="3" t="s">
        <v>388</v>
      </c>
      <c r="C15" s="3" t="s">
        <v>389</v>
      </c>
      <c r="D15" s="3" t="s">
        <v>390</v>
      </c>
    </row>
    <row r="16">
      <c r="A16" s="3" t="s">
        <v>391</v>
      </c>
      <c r="B16" s="3" t="s">
        <v>306</v>
      </c>
      <c r="C16" s="3" t="s">
        <v>27</v>
      </c>
      <c r="D16" s="3" t="s">
        <v>27</v>
      </c>
    </row>
    <row r="17">
      <c r="A17" s="3" t="s">
        <v>392</v>
      </c>
      <c r="B17" s="3" t="s">
        <v>393</v>
      </c>
      <c r="C17" s="3" t="s">
        <v>27</v>
      </c>
      <c r="D17" s="3" t="s">
        <v>27</v>
      </c>
    </row>
    <row r="18">
      <c r="A18" s="3" t="s">
        <v>394</v>
      </c>
      <c r="B18" s="3" t="s">
        <v>308</v>
      </c>
      <c r="C18" s="3" t="s">
        <v>395</v>
      </c>
      <c r="D18" s="3" t="s">
        <v>396</v>
      </c>
    </row>
    <row r="19">
      <c r="A19" s="3" t="s">
        <v>397</v>
      </c>
      <c r="B19" s="3" t="s">
        <v>398</v>
      </c>
      <c r="C19" s="3" t="s">
        <v>27</v>
      </c>
      <c r="D19" s="3" t="s">
        <v>27</v>
      </c>
    </row>
    <row r="20">
      <c r="A20" s="3" t="s">
        <v>399</v>
      </c>
      <c r="B20" s="3" t="s">
        <v>310</v>
      </c>
      <c r="C20" s="3" t="s">
        <v>27</v>
      </c>
      <c r="D20" s="3" t="s">
        <v>27</v>
      </c>
    </row>
    <row r="21">
      <c r="A21" s="3" t="s">
        <v>400</v>
      </c>
      <c r="B21" s="3" t="s">
        <v>401</v>
      </c>
      <c r="C21" s="3" t="s">
        <v>402</v>
      </c>
      <c r="D21" s="3" t="s">
        <v>403</v>
      </c>
    </row>
    <row r="22">
      <c r="A22" s="3" t="s">
        <v>404</v>
      </c>
      <c r="B22" s="3" t="s">
        <v>312</v>
      </c>
      <c r="C22" s="3" t="s">
        <v>27</v>
      </c>
      <c r="D22" s="3" t="s">
        <v>27</v>
      </c>
    </row>
    <row r="23">
      <c r="A23" s="3" t="s">
        <v>405</v>
      </c>
      <c r="B23" s="3" t="s">
        <v>406</v>
      </c>
      <c r="C23" s="3" t="s">
        <v>27</v>
      </c>
      <c r="D23" s="3" t="s">
        <v>27</v>
      </c>
    </row>
    <row r="24">
      <c r="A24" s="3" t="s">
        <v>407</v>
      </c>
      <c r="B24" s="3" t="s">
        <v>313</v>
      </c>
      <c r="C24" s="3" t="s">
        <v>27</v>
      </c>
      <c r="D24" s="3" t="s">
        <v>27</v>
      </c>
    </row>
    <row r="25">
      <c r="A25" s="3" t="s">
        <v>106</v>
      </c>
      <c r="B25" s="3" t="s">
        <v>408</v>
      </c>
      <c r="C25" s="3" t="s">
        <v>409</v>
      </c>
      <c r="D25" s="3" t="s">
        <v>27</v>
      </c>
    </row>
    <row r="26">
      <c r="A26" s="3" t="s">
        <v>410</v>
      </c>
      <c r="B26" s="3" t="s">
        <v>316</v>
      </c>
      <c r="C26" s="3" t="s">
        <v>27</v>
      </c>
      <c r="D26" s="3" t="s">
        <v>27</v>
      </c>
    </row>
    <row r="27">
      <c r="A27" s="3" t="s">
        <v>411</v>
      </c>
      <c r="B27" s="3" t="s">
        <v>318</v>
      </c>
      <c r="C27" s="3" t="s">
        <v>27</v>
      </c>
      <c r="D27" s="3" t="s">
        <v>27</v>
      </c>
    </row>
    <row r="28">
      <c r="A28" s="3" t="s">
        <v>412</v>
      </c>
      <c r="B28" s="3" t="s">
        <v>413</v>
      </c>
      <c r="C28" s="3" t="s">
        <v>414</v>
      </c>
      <c r="D28" s="3" t="s">
        <v>414</v>
      </c>
    </row>
    <row r="29">
      <c r="A29" s="3" t="s">
        <v>415</v>
      </c>
      <c r="B29" s="3" t="s">
        <v>320</v>
      </c>
      <c r="C29" s="3" t="s">
        <v>416</v>
      </c>
      <c r="D29" s="3" t="s">
        <v>390</v>
      </c>
    </row>
    <row r="30">
      <c r="A30" s="3" t="s">
        <v>417</v>
      </c>
      <c r="B30" s="3" t="s">
        <v>418</v>
      </c>
      <c r="C30" s="3" t="s">
        <v>27</v>
      </c>
      <c r="D30" s="3" t="s">
        <v>27</v>
      </c>
    </row>
    <row r="31">
      <c r="A31" s="3" t="s">
        <v>100</v>
      </c>
      <c r="B31" s="3" t="s">
        <v>323</v>
      </c>
      <c r="C31" s="3">
        <v>1307000</v>
      </c>
      <c r="D31" s="3" t="s">
        <v>27</v>
      </c>
    </row>
    <row r="32">
      <c r="A32" s="3" t="s">
        <v>419</v>
      </c>
      <c r="B32" s="3" t="s">
        <v>420</v>
      </c>
      <c r="C32" s="3" t="s">
        <v>421</v>
      </c>
      <c r="D32" s="3" t="s">
        <v>395</v>
      </c>
    </row>
    <row r="33">
      <c r="A33" s="3" t="s">
        <v>422</v>
      </c>
      <c r="B33" s="3" t="s">
        <v>423</v>
      </c>
      <c r="C33" s="3" t="s">
        <v>27</v>
      </c>
      <c r="D33" s="3" t="s">
        <v>27</v>
      </c>
    </row>
    <row r="34">
      <c r="A34" s="3" t="s">
        <v>424</v>
      </c>
      <c r="B34" s="3" t="s">
        <v>325</v>
      </c>
      <c r="C34" s="3" t="s">
        <v>27</v>
      </c>
      <c r="D34" s="3" t="s">
        <v>27</v>
      </c>
    </row>
    <row r="35">
      <c r="A35" s="3" t="s">
        <v>425</v>
      </c>
      <c r="B35" s="3" t="s">
        <v>426</v>
      </c>
      <c r="C35" s="3" t="s">
        <v>427</v>
      </c>
      <c r="D35" s="3" t="s">
        <v>27</v>
      </c>
    </row>
    <row r="36">
      <c r="A36" s="3" t="s">
        <v>428</v>
      </c>
      <c r="B36" s="3" t="s">
        <v>327</v>
      </c>
      <c r="C36" s="3" t="s">
        <v>27</v>
      </c>
      <c r="D36" s="3" t="s">
        <v>27</v>
      </c>
    </row>
    <row r="37">
      <c r="A37" s="3" t="s">
        <v>108</v>
      </c>
      <c r="B37" s="3" t="s">
        <v>429</v>
      </c>
      <c r="C37" s="3">
        <v>1003000</v>
      </c>
      <c r="D37" s="3" t="s">
        <v>27</v>
      </c>
    </row>
    <row r="38">
      <c r="A38" s="3" t="s">
        <v>430</v>
      </c>
      <c r="B38" s="3" t="s">
        <v>329</v>
      </c>
      <c r="C38" s="3" t="s">
        <v>431</v>
      </c>
      <c r="D38" s="3" t="s">
        <v>432</v>
      </c>
    </row>
    <row r="39">
      <c r="A39" s="3" t="s">
        <v>433</v>
      </c>
      <c r="B39" s="3" t="s">
        <v>332</v>
      </c>
      <c r="C39" s="3" t="s">
        <v>434</v>
      </c>
      <c r="D39" s="3" t="s">
        <v>374</v>
      </c>
    </row>
    <row r="40">
      <c r="A40" s="3" t="s">
        <v>435</v>
      </c>
      <c r="B40" s="3" t="s">
        <v>334</v>
      </c>
      <c r="C40" s="3" t="s">
        <v>436</v>
      </c>
      <c r="D40" s="3" t="s">
        <v>27</v>
      </c>
    </row>
    <row r="41">
      <c r="A41" s="3" t="s">
        <v>437</v>
      </c>
      <c r="B41" s="3" t="s">
        <v>336</v>
      </c>
      <c r="C41" s="3" t="s">
        <v>27</v>
      </c>
      <c r="D41" s="3" t="s">
        <v>27</v>
      </c>
    </row>
    <row r="42">
      <c r="A42" s="3" t="s">
        <v>438</v>
      </c>
      <c r="B42" s="3" t="s">
        <v>339</v>
      </c>
      <c r="C42" s="3" t="s">
        <v>27</v>
      </c>
      <c r="D42" s="3" t="s">
        <v>27</v>
      </c>
    </row>
    <row r="43">
      <c r="A43" s="3" t="s">
        <v>439</v>
      </c>
      <c r="B43" s="3" t="s">
        <v>342</v>
      </c>
      <c r="C43" s="3" t="s">
        <v>27</v>
      </c>
      <c r="D43" s="3" t="s">
        <v>27</v>
      </c>
    </row>
    <row r="44">
      <c r="A44" s="3" t="s">
        <v>440</v>
      </c>
      <c r="B44" s="3" t="s">
        <v>344</v>
      </c>
      <c r="C44" s="3" t="s">
        <v>27</v>
      </c>
      <c r="D44" s="3" t="s">
        <v>27</v>
      </c>
    </row>
    <row r="45">
      <c r="A45" s="3" t="s">
        <v>441</v>
      </c>
      <c r="B45" s="3" t="s">
        <v>346</v>
      </c>
      <c r="C45" s="3" t="s">
        <v>442</v>
      </c>
      <c r="D45" s="3" t="s">
        <v>443</v>
      </c>
    </row>
    <row r="46">
      <c r="A46" s="3" t="s">
        <v>444</v>
      </c>
      <c r="B46" s="3" t="s">
        <v>445</v>
      </c>
      <c r="C46" s="3">
        <v>1050000</v>
      </c>
      <c r="D46" s="3" t="s">
        <v>446</v>
      </c>
    </row>
    <row r="47">
      <c r="A47" s="3" t="s">
        <v>447</v>
      </c>
      <c r="B47" s="3" t="s">
        <v>348</v>
      </c>
      <c r="C47" s="3" t="s">
        <v>27</v>
      </c>
      <c r="D47" s="3" t="s">
        <v>27</v>
      </c>
    </row>
    <row r="48">
      <c r="A48" s="3" t="s">
        <v>448</v>
      </c>
      <c r="B48" s="3" t="s">
        <v>449</v>
      </c>
      <c r="C48" s="3" t="s">
        <v>450</v>
      </c>
      <c r="D48" s="3" t="s">
        <v>450</v>
      </c>
    </row>
    <row r="49">
      <c r="A49" s="3" t="s">
        <v>451</v>
      </c>
      <c r="B49" s="3" t="s">
        <v>350</v>
      </c>
      <c r="C49" s="3" t="s">
        <v>27</v>
      </c>
      <c r="D49" s="3" t="s">
        <v>27</v>
      </c>
    </row>
    <row r="50">
      <c r="A50" s="3" t="s">
        <v>452</v>
      </c>
      <c r="B50" s="3" t="s">
        <v>453</v>
      </c>
      <c r="C50" s="3" t="s">
        <v>454</v>
      </c>
      <c r="D50" s="3" t="s">
        <v>454</v>
      </c>
    </row>
    <row r="51">
      <c r="A51" s="3" t="s">
        <v>455</v>
      </c>
      <c r="B51" s="3" t="s">
        <v>352</v>
      </c>
      <c r="C51" s="3" t="s">
        <v>456</v>
      </c>
      <c r="D51" s="3" t="s">
        <v>456</v>
      </c>
    </row>
    <row r="52">
      <c r="A52" s="3" t="s">
        <v>457</v>
      </c>
      <c r="B52" s="3" t="s">
        <v>458</v>
      </c>
      <c r="C52" s="3">
        <v>-51000</v>
      </c>
      <c r="D52" s="3" t="s">
        <v>27</v>
      </c>
    </row>
    <row r="53">
      <c r="A53" s="3" t="s">
        <v>459</v>
      </c>
      <c r="B53" s="3" t="s">
        <v>354</v>
      </c>
      <c r="C53" s="3" t="s">
        <v>460</v>
      </c>
      <c r="D53" s="3" t="s">
        <v>27</v>
      </c>
    </row>
    <row r="54">
      <c r="A54" s="3" t="s">
        <v>110</v>
      </c>
      <c r="B54" s="3" t="s">
        <v>461</v>
      </c>
      <c r="C54" s="3">
        <v>1159000</v>
      </c>
      <c r="D54" s="3" t="s">
        <v>27</v>
      </c>
    </row>
    <row r="55">
      <c r="A55" s="3" t="s">
        <v>102</v>
      </c>
      <c r="B55" s="3" t="s">
        <v>356</v>
      </c>
      <c r="C55" s="3">
        <v>2162000</v>
      </c>
      <c r="D55" s="3" t="s">
        <v>27</v>
      </c>
    </row>
    <row r="56">
      <c r="A56" s="3" t="s">
        <v>462</v>
      </c>
      <c r="B56" s="3" t="s">
        <v>463</v>
      </c>
      <c r="C56" s="3">
        <v>2162000</v>
      </c>
      <c r="D56" s="3" t="s">
        <v>27</v>
      </c>
    </row>
  </sheetData>
</worksheet>
</file>

<file path=xl/worksheets/sheet18.xml><?xml version="1.0" encoding="utf-8"?>
<worksheet xmlns="http://schemas.openxmlformats.org/spreadsheetml/2006/main">
  <dimension ref="A1"/>
  <sheetViews>
    <sheetView workbookViewId="0"/>
  </sheetViews>
  <cols>
    <col customWidth="true" max="4" min="1" width="22"/>
  </cols>
  <sheetData>
    <row r="1">
      <c r="A1" s="3" t="s">
        <v>464</v>
      </c>
      <c r="B1" s="3" t="s">
        <v>27</v>
      </c>
      <c r="C1" s="3" t="s">
        <v>27</v>
      </c>
      <c r="D1" s="3" t="s">
        <v>27</v>
      </c>
    </row>
    <row r="2">
      <c r="A2" s="3" t="s">
        <v>284</v>
      </c>
      <c r="B2" s="3" t="s">
        <v>285</v>
      </c>
      <c r="C2" s="3" t="s">
        <v>27</v>
      </c>
      <c r="D2" s="3" t="s">
        <v>286</v>
      </c>
    </row>
    <row r="3">
      <c r="A3" s="2" t="s">
        <v>0</v>
      </c>
      <c r="B3" s="2" t="s">
        <v>287</v>
      </c>
      <c r="C3" s="2" t="s">
        <v>289</v>
      </c>
      <c r="D3" s="2" t="s">
        <v>288</v>
      </c>
    </row>
    <row r="4">
      <c r="A4" s="3" t="s">
        <v>465</v>
      </c>
      <c r="B4" s="3" t="s">
        <v>291</v>
      </c>
      <c r="C4" s="3" t="s">
        <v>466</v>
      </c>
      <c r="D4" s="3" t="s">
        <v>466</v>
      </c>
    </row>
    <row r="5">
      <c r="A5" s="3" t="s">
        <v>467</v>
      </c>
      <c r="B5" s="3" t="s">
        <v>294</v>
      </c>
      <c r="C5" s="3" t="s">
        <v>403</v>
      </c>
      <c r="D5" s="3" t="s">
        <v>403</v>
      </c>
    </row>
    <row r="6">
      <c r="A6" s="3" t="s">
        <v>468</v>
      </c>
      <c r="B6" s="3" t="s">
        <v>297</v>
      </c>
      <c r="C6" s="3" t="s">
        <v>469</v>
      </c>
      <c r="D6" s="3" t="s">
        <v>469</v>
      </c>
    </row>
    <row r="7">
      <c r="A7" s="3" t="s">
        <v>470</v>
      </c>
      <c r="B7" s="3" t="s">
        <v>300</v>
      </c>
      <c r="C7" s="3" t="s">
        <v>375</v>
      </c>
      <c r="D7" s="3" t="s">
        <v>375</v>
      </c>
    </row>
    <row r="8">
      <c r="A8" s="3" t="s">
        <v>471</v>
      </c>
      <c r="B8" s="3" t="s">
        <v>302</v>
      </c>
      <c r="C8" s="3" t="s">
        <v>472</v>
      </c>
      <c r="D8" s="3" t="s">
        <v>472</v>
      </c>
    </row>
    <row r="9">
      <c r="A9" s="3" t="s">
        <v>473</v>
      </c>
      <c r="B9" s="3" t="s">
        <v>304</v>
      </c>
      <c r="C9" s="3" t="s">
        <v>474</v>
      </c>
      <c r="D9" s="3" t="s">
        <v>474</v>
      </c>
    </row>
    <row r="10">
      <c r="A10" s="3" t="s">
        <v>475</v>
      </c>
      <c r="B10" s="3" t="s">
        <v>306</v>
      </c>
      <c r="C10" s="3" t="s">
        <v>328</v>
      </c>
      <c r="D10" s="3" t="s">
        <v>328</v>
      </c>
    </row>
    <row r="11">
      <c r="A11" s="3" t="s">
        <v>476</v>
      </c>
      <c r="B11" s="3" t="s">
        <v>308</v>
      </c>
      <c r="C11" s="3" t="s">
        <v>27</v>
      </c>
      <c r="D11" s="3" t="s">
        <v>27</v>
      </c>
    </row>
    <row r="12">
      <c r="A12" s="3" t="s">
        <v>477</v>
      </c>
      <c r="B12" s="3" t="s">
        <v>310</v>
      </c>
      <c r="C12" s="3" t="s">
        <v>27</v>
      </c>
      <c r="D12" s="3" t="s">
        <v>27</v>
      </c>
    </row>
    <row r="13">
      <c r="A13" s="3" t="s">
        <v>478</v>
      </c>
      <c r="B13" s="3" t="s">
        <v>312</v>
      </c>
      <c r="C13" s="3" t="s">
        <v>27</v>
      </c>
      <c r="D13" s="3" t="s">
        <v>27</v>
      </c>
    </row>
    <row r="14">
      <c r="A14" s="3" t="s">
        <v>479</v>
      </c>
      <c r="B14" s="3" t="s">
        <v>313</v>
      </c>
      <c r="C14" s="3" t="s">
        <v>27</v>
      </c>
      <c r="D14" s="3" t="s">
        <v>27</v>
      </c>
    </row>
    <row r="15">
      <c r="A15" s="3" t="s">
        <v>480</v>
      </c>
      <c r="B15" s="3" t="s">
        <v>316</v>
      </c>
      <c r="C15" s="3" t="s">
        <v>481</v>
      </c>
      <c r="D15" s="3" t="s">
        <v>481</v>
      </c>
    </row>
    <row r="16">
      <c r="A16" s="3" t="s">
        <v>482</v>
      </c>
      <c r="B16" s="3" t="s">
        <v>318</v>
      </c>
      <c r="C16" s="3">
        <v>-85000</v>
      </c>
      <c r="D16" s="3">
        <v>-85000</v>
      </c>
    </row>
    <row r="17">
      <c r="A17" s="3" t="s">
        <v>483</v>
      </c>
      <c r="B17" s="3" t="s">
        <v>320</v>
      </c>
      <c r="C17" s="3" t="s">
        <v>27</v>
      </c>
      <c r="D17" s="3" t="s">
        <v>27</v>
      </c>
    </row>
    <row r="18">
      <c r="A18" s="3" t="s">
        <v>484</v>
      </c>
      <c r="B18" s="3" t="s">
        <v>323</v>
      </c>
      <c r="C18" s="3" t="s">
        <v>485</v>
      </c>
      <c r="D18" s="3" t="s">
        <v>485</v>
      </c>
    </row>
    <row r="19">
      <c r="A19" s="3" t="s">
        <v>486</v>
      </c>
      <c r="B19" s="3" t="s">
        <v>325</v>
      </c>
      <c r="C19" s="3" t="s">
        <v>27</v>
      </c>
      <c r="D19" s="3" t="s">
        <v>27</v>
      </c>
    </row>
    <row r="20">
      <c r="A20" s="3" t="s">
        <v>487</v>
      </c>
      <c r="B20" s="3" t="s">
        <v>327</v>
      </c>
      <c r="C20" s="3" t="s">
        <v>27</v>
      </c>
      <c r="D20" s="3" t="s">
        <v>27</v>
      </c>
    </row>
    <row r="21">
      <c r="A21" s="3" t="s">
        <v>488</v>
      </c>
      <c r="B21" s="3" t="s">
        <v>329</v>
      </c>
      <c r="C21" s="3" t="s">
        <v>27</v>
      </c>
      <c r="D21" s="3" t="s">
        <v>27</v>
      </c>
    </row>
    <row r="22">
      <c r="A22" s="3" t="s">
        <v>489</v>
      </c>
      <c r="B22" s="3" t="s">
        <v>332</v>
      </c>
      <c r="C22" s="3" t="s">
        <v>485</v>
      </c>
      <c r="D22" s="3" t="s">
        <v>485</v>
      </c>
    </row>
    <row r="23">
      <c r="A23" s="3" t="s">
        <v>490</v>
      </c>
      <c r="B23" s="3" t="s">
        <v>334</v>
      </c>
      <c r="C23" s="3" t="s">
        <v>491</v>
      </c>
      <c r="D23" s="3" t="s">
        <v>491</v>
      </c>
    </row>
    <row r="24">
      <c r="A24" s="3" t="s">
        <v>492</v>
      </c>
      <c r="B24" s="3" t="s">
        <v>336</v>
      </c>
      <c r="C24" s="3" t="s">
        <v>368</v>
      </c>
      <c r="D24" s="3" t="s">
        <v>368</v>
      </c>
    </row>
    <row r="25">
      <c r="A25" s="3" t="s">
        <v>124</v>
      </c>
      <c r="B25" s="3" t="s">
        <v>339</v>
      </c>
      <c r="C25" s="3" t="s">
        <v>367</v>
      </c>
      <c r="D25" s="3" t="s">
        <v>367</v>
      </c>
    </row>
  </sheetData>
</worksheet>
</file>

<file path=xl/worksheets/sheet19.xml><?xml version="1.0" encoding="utf-8"?>
<worksheet xmlns="http://schemas.openxmlformats.org/spreadsheetml/2006/main">
  <dimension ref="A1"/>
  <sheetViews>
    <sheetView workbookViewId="0"/>
  </sheetViews>
  <cols>
    <col customWidth="true" max="4" min="1" width="22"/>
  </cols>
  <sheetData>
    <row r="1">
      <c r="A1" s="3" t="s">
        <v>283</v>
      </c>
      <c r="B1" s="3" t="s">
        <v>27</v>
      </c>
      <c r="C1" s="3" t="s">
        <v>27</v>
      </c>
      <c r="D1" s="3" t="s">
        <v>27</v>
      </c>
    </row>
    <row r="2">
      <c r="A2" s="3" t="s">
        <v>284</v>
      </c>
      <c r="B2" s="3" t="s">
        <v>493</v>
      </c>
      <c r="C2" s="3" t="s">
        <v>27</v>
      </c>
      <c r="D2" s="3" t="s">
        <v>286</v>
      </c>
    </row>
    <row r="3">
      <c r="A3" s="2" t="s">
        <v>0</v>
      </c>
      <c r="B3" s="2" t="s">
        <v>287</v>
      </c>
      <c r="C3" s="2" t="s">
        <v>288</v>
      </c>
      <c r="D3" s="2" t="s">
        <v>289</v>
      </c>
    </row>
    <row r="4">
      <c r="A4" s="3" t="s">
        <v>290</v>
      </c>
      <c r="B4" s="3" t="s">
        <v>291</v>
      </c>
      <c r="C4" s="3">
        <v>2210000</v>
      </c>
      <c r="D4" s="3">
        <v>1230000</v>
      </c>
    </row>
    <row r="5">
      <c r="A5" s="3" t="s">
        <v>293</v>
      </c>
      <c r="B5" s="3" t="s">
        <v>294</v>
      </c>
      <c r="C5" s="3" t="s">
        <v>494</v>
      </c>
      <c r="D5" s="3" t="s">
        <v>495</v>
      </c>
    </row>
    <row r="6">
      <c r="A6" s="3" t="s">
        <v>296</v>
      </c>
      <c r="B6" s="3" t="s">
        <v>297</v>
      </c>
      <c r="C6" s="3" t="s">
        <v>496</v>
      </c>
      <c r="D6" s="3" t="s">
        <v>497</v>
      </c>
    </row>
    <row r="7">
      <c r="A7" s="3" t="s">
        <v>299</v>
      </c>
      <c r="B7" s="3" t="s">
        <v>300</v>
      </c>
      <c r="C7" s="3" t="s">
        <v>27</v>
      </c>
      <c r="D7" s="3" t="s">
        <v>27</v>
      </c>
    </row>
    <row r="8">
      <c r="A8" s="3" t="s">
        <v>301</v>
      </c>
      <c r="B8" s="3" t="s">
        <v>302</v>
      </c>
      <c r="C8" s="3" t="s">
        <v>27</v>
      </c>
      <c r="D8" s="3" t="s">
        <v>27</v>
      </c>
    </row>
    <row r="9">
      <c r="A9" s="3" t="s">
        <v>303</v>
      </c>
      <c r="B9" s="3" t="s">
        <v>304</v>
      </c>
      <c r="C9" s="3" t="s">
        <v>27</v>
      </c>
      <c r="D9" s="3" t="s">
        <v>27</v>
      </c>
    </row>
    <row r="10">
      <c r="A10" s="3" t="s">
        <v>305</v>
      </c>
      <c r="B10" s="3" t="s">
        <v>306</v>
      </c>
      <c r="C10" s="3" t="s">
        <v>27</v>
      </c>
      <c r="D10" s="3" t="s">
        <v>27</v>
      </c>
    </row>
    <row r="11">
      <c r="A11" s="3" t="s">
        <v>307</v>
      </c>
      <c r="B11" s="3" t="s">
        <v>308</v>
      </c>
      <c r="C11" s="3" t="s">
        <v>27</v>
      </c>
      <c r="D11" s="3" t="s">
        <v>27</v>
      </c>
    </row>
    <row r="12">
      <c r="A12" s="3" t="s">
        <v>309</v>
      </c>
      <c r="B12" s="3" t="s">
        <v>310</v>
      </c>
      <c r="C12" s="3" t="s">
        <v>27</v>
      </c>
      <c r="D12" s="3" t="s">
        <v>27</v>
      </c>
    </row>
    <row r="13">
      <c r="A13" s="3" t="s">
        <v>311</v>
      </c>
      <c r="B13" s="3" t="s">
        <v>312</v>
      </c>
      <c r="C13" s="3" t="s">
        <v>27</v>
      </c>
      <c r="D13" s="3" t="s">
        <v>27</v>
      </c>
    </row>
    <row r="14">
      <c r="A14" s="3" t="s">
        <v>77</v>
      </c>
      <c r="B14" s="3" t="s">
        <v>313</v>
      </c>
      <c r="C14" s="3" t="s">
        <v>498</v>
      </c>
      <c r="D14" s="3" t="s">
        <v>499</v>
      </c>
    </row>
    <row r="15">
      <c r="A15" s="3" t="s">
        <v>315</v>
      </c>
      <c r="B15" s="3" t="s">
        <v>316</v>
      </c>
      <c r="C15" s="3" t="s">
        <v>27</v>
      </c>
      <c r="D15" s="3" t="s">
        <v>27</v>
      </c>
    </row>
    <row r="16">
      <c r="A16" s="3" t="s">
        <v>317</v>
      </c>
      <c r="B16" s="3" t="s">
        <v>318</v>
      </c>
      <c r="C16" s="3" t="s">
        <v>500</v>
      </c>
      <c r="D16" s="3" t="s">
        <v>501</v>
      </c>
    </row>
    <row r="17">
      <c r="A17" s="3" t="s">
        <v>81</v>
      </c>
      <c r="B17" s="3" t="s">
        <v>320</v>
      </c>
      <c r="C17" s="3" t="s">
        <v>502</v>
      </c>
      <c r="D17" s="3" t="s">
        <v>491</v>
      </c>
    </row>
    <row r="18">
      <c r="A18" s="3" t="s">
        <v>322</v>
      </c>
      <c r="B18" s="3" t="s">
        <v>323</v>
      </c>
      <c r="C18" s="3" t="s">
        <v>27</v>
      </c>
      <c r="D18" s="3" t="s">
        <v>27</v>
      </c>
    </row>
    <row r="19">
      <c r="A19" s="3" t="s">
        <v>324</v>
      </c>
      <c r="B19" s="3" t="s">
        <v>325</v>
      </c>
      <c r="C19" s="3" t="s">
        <v>503</v>
      </c>
      <c r="D19" s="3" t="s">
        <v>504</v>
      </c>
    </row>
    <row r="20">
      <c r="A20" s="3" t="s">
        <v>79</v>
      </c>
      <c r="B20" s="3" t="s">
        <v>327</v>
      </c>
      <c r="C20" s="3" t="s">
        <v>505</v>
      </c>
      <c r="D20" s="3" t="s">
        <v>506</v>
      </c>
    </row>
    <row r="21">
      <c r="A21" s="3" t="s">
        <v>83</v>
      </c>
      <c r="B21" s="3" t="s">
        <v>329</v>
      </c>
      <c r="C21" s="3" t="s">
        <v>507</v>
      </c>
      <c r="D21" s="3" t="s">
        <v>298</v>
      </c>
    </row>
    <row r="22">
      <c r="A22" s="3" t="s">
        <v>331</v>
      </c>
      <c r="B22" s="3" t="s">
        <v>332</v>
      </c>
      <c r="C22" s="3" t="s">
        <v>507</v>
      </c>
      <c r="D22" s="3" t="s">
        <v>298</v>
      </c>
    </row>
    <row r="23">
      <c r="A23" s="3" t="s">
        <v>333</v>
      </c>
      <c r="B23" s="3" t="s">
        <v>334</v>
      </c>
      <c r="C23" s="3" t="s">
        <v>27</v>
      </c>
      <c r="D23" s="3" t="s">
        <v>27</v>
      </c>
    </row>
    <row r="24">
      <c r="A24" s="3" t="s">
        <v>335</v>
      </c>
      <c r="B24" s="3" t="s">
        <v>336</v>
      </c>
      <c r="C24" s="3" t="s">
        <v>508</v>
      </c>
      <c r="D24" s="3" t="s">
        <v>509</v>
      </c>
    </row>
    <row r="25">
      <c r="A25" s="3" t="s">
        <v>338</v>
      </c>
      <c r="B25" s="3" t="s">
        <v>339</v>
      </c>
      <c r="C25" s="3" t="s">
        <v>510</v>
      </c>
      <c r="D25" s="3" t="s">
        <v>511</v>
      </c>
    </row>
    <row r="26">
      <c r="A26" s="3" t="s">
        <v>341</v>
      </c>
      <c r="B26" s="3" t="s">
        <v>342</v>
      </c>
      <c r="C26" s="3" t="s">
        <v>27</v>
      </c>
      <c r="D26" s="3" t="s">
        <v>27</v>
      </c>
    </row>
    <row r="27">
      <c r="A27" s="3" t="s">
        <v>343</v>
      </c>
      <c r="B27" s="3" t="s">
        <v>344</v>
      </c>
      <c r="C27" s="3" t="s">
        <v>27</v>
      </c>
      <c r="D27" s="3" t="s">
        <v>27</v>
      </c>
    </row>
    <row r="28">
      <c r="A28" s="3" t="s">
        <v>345</v>
      </c>
      <c r="B28" s="3" t="s">
        <v>346</v>
      </c>
      <c r="C28" s="3" t="s">
        <v>27</v>
      </c>
      <c r="D28" s="3" t="s">
        <v>27</v>
      </c>
    </row>
    <row r="29">
      <c r="A29" s="3" t="s">
        <v>347</v>
      </c>
      <c r="B29" s="3" t="s">
        <v>348</v>
      </c>
      <c r="C29" s="3" t="s">
        <v>27</v>
      </c>
      <c r="D29" s="3" t="s">
        <v>27</v>
      </c>
    </row>
    <row r="30">
      <c r="A30" s="3" t="s">
        <v>349</v>
      </c>
      <c r="B30" s="3" t="s">
        <v>350</v>
      </c>
      <c r="C30" s="3" t="s">
        <v>27</v>
      </c>
      <c r="D30" s="3" t="s">
        <v>27</v>
      </c>
    </row>
    <row r="31">
      <c r="A31" s="3" t="s">
        <v>351</v>
      </c>
      <c r="B31" s="3" t="s">
        <v>352</v>
      </c>
      <c r="C31" s="3" t="s">
        <v>27</v>
      </c>
      <c r="D31" s="3" t="s">
        <v>27</v>
      </c>
    </row>
    <row r="32">
      <c r="A32" s="3" t="s">
        <v>353</v>
      </c>
      <c r="B32" s="3" t="s">
        <v>354</v>
      </c>
      <c r="C32" s="3" t="s">
        <v>27</v>
      </c>
      <c r="D32" s="3" t="s">
        <v>27</v>
      </c>
    </row>
    <row r="33">
      <c r="A33" s="3" t="s">
        <v>355</v>
      </c>
      <c r="B33" s="3" t="s">
        <v>356</v>
      </c>
      <c r="C33" s="3" t="s">
        <v>512</v>
      </c>
      <c r="D33" s="3" t="s">
        <v>513</v>
      </c>
    </row>
    <row r="34">
      <c r="A34" s="3" t="s">
        <v>358</v>
      </c>
      <c r="B34" s="3" t="s">
        <v>359</v>
      </c>
      <c r="C34" s="3" t="s">
        <v>514</v>
      </c>
      <c r="D34" s="3" t="s">
        <v>515</v>
      </c>
    </row>
    <row r="35">
      <c r="A35" s="3" t="s">
        <v>361</v>
      </c>
      <c r="B35" s="3" t="s">
        <v>362</v>
      </c>
      <c r="C35" s="3" t="s">
        <v>516</v>
      </c>
      <c r="D35" s="3" t="s">
        <v>517</v>
      </c>
    </row>
  </sheetData>
</worksheet>
</file>

<file path=xl/worksheets/sheet20.xml><?xml version="1.0" encoding="utf-8"?>
<worksheet xmlns="http://schemas.openxmlformats.org/spreadsheetml/2006/main">
  <dimension ref="A1"/>
  <sheetViews>
    <sheetView workbookViewId="0"/>
  </sheetViews>
  <cols>
    <col customWidth="true" max="4" min="1" width="22"/>
  </cols>
  <sheetData>
    <row r="1">
      <c r="A1" s="3" t="s">
        <v>364</v>
      </c>
      <c r="B1" s="3" t="s">
        <v>27</v>
      </c>
      <c r="C1" s="3" t="s">
        <v>27</v>
      </c>
      <c r="D1" s="3" t="s">
        <v>27</v>
      </c>
    </row>
    <row r="2">
      <c r="A2" s="3" t="s">
        <v>284</v>
      </c>
      <c r="B2" s="3">
        <v>45838</v>
      </c>
      <c r="C2" s="3" t="s">
        <v>27</v>
      </c>
      <c r="D2" s="3" t="s">
        <v>286</v>
      </c>
    </row>
    <row r="3">
      <c r="A3" s="2" t="s">
        <v>0</v>
      </c>
      <c r="B3" s="2" t="s">
        <v>287</v>
      </c>
      <c r="C3" s="2" t="s">
        <v>365</v>
      </c>
      <c r="D3" s="2" t="s">
        <v>366</v>
      </c>
    </row>
    <row r="4">
      <c r="A4" s="3" t="s">
        <v>96</v>
      </c>
      <c r="B4" s="3" t="s">
        <v>291</v>
      </c>
      <c r="C4" s="3" t="s">
        <v>518</v>
      </c>
      <c r="D4" s="3" t="s">
        <v>368</v>
      </c>
    </row>
    <row r="5">
      <c r="A5" s="3" t="s">
        <v>369</v>
      </c>
      <c r="B5" s="3" t="s">
        <v>359</v>
      </c>
      <c r="C5" s="3" t="s">
        <v>27</v>
      </c>
      <c r="D5" s="3" t="s">
        <v>27</v>
      </c>
    </row>
    <row r="6">
      <c r="A6" s="3" t="s">
        <v>370</v>
      </c>
      <c r="B6" s="3" t="s">
        <v>294</v>
      </c>
      <c r="C6" s="3" t="s">
        <v>27</v>
      </c>
      <c r="D6" s="3" t="s">
        <v>27</v>
      </c>
    </row>
    <row r="7">
      <c r="A7" s="3" t="s">
        <v>371</v>
      </c>
      <c r="B7" s="3" t="s">
        <v>362</v>
      </c>
      <c r="C7" s="3" t="s">
        <v>27</v>
      </c>
      <c r="D7" s="3" t="s">
        <v>27</v>
      </c>
    </row>
    <row r="8">
      <c r="A8" s="3" t="s">
        <v>372</v>
      </c>
      <c r="B8" s="3" t="s">
        <v>297</v>
      </c>
      <c r="C8" s="3" t="s">
        <v>27</v>
      </c>
      <c r="D8" s="3" t="s">
        <v>27</v>
      </c>
    </row>
    <row r="9">
      <c r="A9" s="3" t="s">
        <v>104</v>
      </c>
      <c r="B9" s="3" t="s">
        <v>373</v>
      </c>
      <c r="C9" s="3" t="s">
        <v>519</v>
      </c>
      <c r="D9" s="3" t="s">
        <v>328</v>
      </c>
    </row>
    <row r="10">
      <c r="A10" s="3" t="s">
        <v>98</v>
      </c>
      <c r="B10" s="3" t="s">
        <v>300</v>
      </c>
      <c r="C10" s="3" t="s">
        <v>520</v>
      </c>
      <c r="D10" s="3" t="s">
        <v>376</v>
      </c>
    </row>
    <row r="11">
      <c r="A11" s="3" t="s">
        <v>377</v>
      </c>
      <c r="B11" s="3" t="s">
        <v>378</v>
      </c>
      <c r="C11" s="3" t="s">
        <v>521</v>
      </c>
      <c r="D11" s="3" t="s">
        <v>380</v>
      </c>
    </row>
    <row r="12">
      <c r="A12" s="3" t="s">
        <v>381</v>
      </c>
      <c r="B12" s="3" t="s">
        <v>302</v>
      </c>
      <c r="C12" s="3" t="s">
        <v>522</v>
      </c>
      <c r="D12" s="3" t="s">
        <v>382</v>
      </c>
    </row>
    <row r="13">
      <c r="A13" s="3" t="s">
        <v>383</v>
      </c>
      <c r="B13" s="3" t="s">
        <v>384</v>
      </c>
      <c r="C13" s="3" t="s">
        <v>523</v>
      </c>
      <c r="D13" s="3" t="s">
        <v>314</v>
      </c>
    </row>
    <row r="14">
      <c r="A14" s="3" t="s">
        <v>386</v>
      </c>
      <c r="B14" s="3" t="s">
        <v>304</v>
      </c>
      <c r="C14" s="3" t="s">
        <v>27</v>
      </c>
      <c r="D14" s="3" t="s">
        <v>27</v>
      </c>
    </row>
    <row r="15">
      <c r="A15" s="3" t="s">
        <v>387</v>
      </c>
      <c r="B15" s="3" t="s">
        <v>388</v>
      </c>
      <c r="C15" s="3" t="s">
        <v>524</v>
      </c>
      <c r="D15" s="3" t="s">
        <v>390</v>
      </c>
    </row>
    <row r="16">
      <c r="A16" s="3" t="s">
        <v>391</v>
      </c>
      <c r="B16" s="3" t="s">
        <v>306</v>
      </c>
      <c r="C16" s="3" t="s">
        <v>27</v>
      </c>
      <c r="D16" s="3" t="s">
        <v>27</v>
      </c>
    </row>
    <row r="17">
      <c r="A17" s="3" t="s">
        <v>392</v>
      </c>
      <c r="B17" s="3" t="s">
        <v>393</v>
      </c>
      <c r="C17" s="3" t="s">
        <v>27</v>
      </c>
      <c r="D17" s="3" t="s">
        <v>27</v>
      </c>
    </row>
    <row r="18">
      <c r="A18" s="3" t="s">
        <v>394</v>
      </c>
      <c r="B18" s="3" t="s">
        <v>308</v>
      </c>
      <c r="C18" s="3" t="s">
        <v>525</v>
      </c>
      <c r="D18" s="3" t="s">
        <v>396</v>
      </c>
    </row>
    <row r="19">
      <c r="A19" s="3" t="s">
        <v>397</v>
      </c>
      <c r="B19" s="3" t="s">
        <v>398</v>
      </c>
      <c r="C19" s="3" t="s">
        <v>27</v>
      </c>
      <c r="D19" s="3" t="s">
        <v>27</v>
      </c>
    </row>
    <row r="20">
      <c r="A20" s="3" t="s">
        <v>399</v>
      </c>
      <c r="B20" s="3" t="s">
        <v>310</v>
      </c>
      <c r="C20" s="3" t="s">
        <v>27</v>
      </c>
      <c r="D20" s="3" t="s">
        <v>27</v>
      </c>
    </row>
    <row r="21">
      <c r="A21" s="3" t="s">
        <v>400</v>
      </c>
      <c r="B21" s="3" t="s">
        <v>401</v>
      </c>
      <c r="C21" s="3" t="s">
        <v>526</v>
      </c>
      <c r="D21" s="3" t="s">
        <v>403</v>
      </c>
    </row>
    <row r="22">
      <c r="A22" s="3" t="s">
        <v>404</v>
      </c>
      <c r="B22" s="3" t="s">
        <v>312</v>
      </c>
      <c r="C22" s="3" t="s">
        <v>27</v>
      </c>
      <c r="D22" s="3" t="s">
        <v>27</v>
      </c>
    </row>
    <row r="23">
      <c r="A23" s="3" t="s">
        <v>405</v>
      </c>
      <c r="B23" s="3" t="s">
        <v>406</v>
      </c>
      <c r="C23" s="3" t="s">
        <v>27</v>
      </c>
      <c r="D23" s="3" t="s">
        <v>27</v>
      </c>
    </row>
    <row r="24">
      <c r="A24" s="3" t="s">
        <v>407</v>
      </c>
      <c r="B24" s="3" t="s">
        <v>313</v>
      </c>
      <c r="C24" s="3" t="s">
        <v>27</v>
      </c>
      <c r="D24" s="3" t="s">
        <v>27</v>
      </c>
    </row>
    <row r="25">
      <c r="A25" s="3" t="s">
        <v>106</v>
      </c>
      <c r="B25" s="3" t="s">
        <v>408</v>
      </c>
      <c r="C25" s="3" t="s">
        <v>527</v>
      </c>
      <c r="D25" s="3" t="s">
        <v>27</v>
      </c>
    </row>
    <row r="26">
      <c r="A26" s="3" t="s">
        <v>410</v>
      </c>
      <c r="B26" s="3" t="s">
        <v>316</v>
      </c>
      <c r="C26" s="3" t="s">
        <v>27</v>
      </c>
      <c r="D26" s="3" t="s">
        <v>27</v>
      </c>
    </row>
    <row r="27">
      <c r="A27" s="3" t="s">
        <v>411</v>
      </c>
      <c r="B27" s="3" t="s">
        <v>318</v>
      </c>
      <c r="C27" s="3" t="s">
        <v>27</v>
      </c>
      <c r="D27" s="3" t="s">
        <v>27</v>
      </c>
    </row>
    <row r="28">
      <c r="A28" s="3" t="s">
        <v>412</v>
      </c>
      <c r="B28" s="3" t="s">
        <v>413</v>
      </c>
      <c r="C28" s="3" t="s">
        <v>414</v>
      </c>
      <c r="D28" s="3" t="s">
        <v>414</v>
      </c>
    </row>
    <row r="29">
      <c r="A29" s="3" t="s">
        <v>415</v>
      </c>
      <c r="B29" s="3" t="s">
        <v>320</v>
      </c>
      <c r="C29" s="3" t="s">
        <v>396</v>
      </c>
      <c r="D29" s="3" t="s">
        <v>390</v>
      </c>
    </row>
    <row r="30">
      <c r="A30" s="3" t="s">
        <v>417</v>
      </c>
      <c r="B30" s="3" t="s">
        <v>418</v>
      </c>
      <c r="C30" s="3" t="s">
        <v>27</v>
      </c>
      <c r="D30" s="3" t="s">
        <v>27</v>
      </c>
    </row>
    <row r="31">
      <c r="A31" s="3" t="s">
        <v>100</v>
      </c>
      <c r="B31" s="3" t="s">
        <v>323</v>
      </c>
      <c r="C31" s="3">
        <v>1498000</v>
      </c>
      <c r="D31" s="3" t="s">
        <v>27</v>
      </c>
    </row>
    <row r="32">
      <c r="A32" s="3" t="s">
        <v>419</v>
      </c>
      <c r="B32" s="3" t="s">
        <v>420</v>
      </c>
      <c r="C32" s="3" t="s">
        <v>396</v>
      </c>
      <c r="D32" s="3" t="s">
        <v>395</v>
      </c>
    </row>
    <row r="33">
      <c r="A33" s="3" t="s">
        <v>422</v>
      </c>
      <c r="B33" s="3" t="s">
        <v>423</v>
      </c>
      <c r="C33" s="3" t="s">
        <v>27</v>
      </c>
      <c r="D33" s="3" t="s">
        <v>27</v>
      </c>
    </row>
    <row r="34">
      <c r="A34" s="3" t="s">
        <v>424</v>
      </c>
      <c r="B34" s="3" t="s">
        <v>325</v>
      </c>
      <c r="C34" s="3" t="s">
        <v>27</v>
      </c>
      <c r="D34" s="3" t="s">
        <v>27</v>
      </c>
    </row>
    <row r="35">
      <c r="A35" s="3" t="s">
        <v>425</v>
      </c>
      <c r="B35" s="3" t="s">
        <v>426</v>
      </c>
      <c r="C35" s="3" t="s">
        <v>528</v>
      </c>
      <c r="D35" s="3" t="s">
        <v>27</v>
      </c>
    </row>
    <row r="36">
      <c r="A36" s="3" t="s">
        <v>428</v>
      </c>
      <c r="B36" s="3" t="s">
        <v>327</v>
      </c>
      <c r="C36" s="3" t="s">
        <v>27</v>
      </c>
      <c r="D36" s="3" t="s">
        <v>27</v>
      </c>
    </row>
    <row r="37">
      <c r="A37" s="3" t="s">
        <v>108</v>
      </c>
      <c r="B37" s="3" t="s">
        <v>429</v>
      </c>
      <c r="C37" s="3">
        <v>1105000</v>
      </c>
      <c r="D37" s="3" t="s">
        <v>27</v>
      </c>
    </row>
    <row r="38">
      <c r="A38" s="3" t="s">
        <v>430</v>
      </c>
      <c r="B38" s="3" t="s">
        <v>329</v>
      </c>
      <c r="C38" s="3" t="s">
        <v>529</v>
      </c>
      <c r="D38" s="3" t="s">
        <v>432</v>
      </c>
    </row>
    <row r="39">
      <c r="A39" s="3" t="s">
        <v>433</v>
      </c>
      <c r="B39" s="3" t="s">
        <v>332</v>
      </c>
      <c r="C39" s="3" t="s">
        <v>530</v>
      </c>
      <c r="D39" s="3" t="s">
        <v>374</v>
      </c>
    </row>
    <row r="40">
      <c r="A40" s="3" t="s">
        <v>435</v>
      </c>
      <c r="B40" s="3" t="s">
        <v>334</v>
      </c>
      <c r="C40" s="3" t="s">
        <v>531</v>
      </c>
      <c r="D40" s="3" t="s">
        <v>27</v>
      </c>
    </row>
    <row r="41">
      <c r="A41" s="3" t="s">
        <v>437</v>
      </c>
      <c r="B41" s="3" t="s">
        <v>336</v>
      </c>
      <c r="C41" s="3" t="s">
        <v>27</v>
      </c>
      <c r="D41" s="3" t="s">
        <v>27</v>
      </c>
    </row>
    <row r="42">
      <c r="A42" s="3" t="s">
        <v>438</v>
      </c>
      <c r="B42" s="3" t="s">
        <v>339</v>
      </c>
      <c r="C42" s="3" t="s">
        <v>27</v>
      </c>
      <c r="D42" s="3" t="s">
        <v>27</v>
      </c>
    </row>
    <row r="43">
      <c r="A43" s="3" t="s">
        <v>439</v>
      </c>
      <c r="B43" s="3" t="s">
        <v>342</v>
      </c>
      <c r="C43" s="3" t="s">
        <v>27</v>
      </c>
      <c r="D43" s="3" t="s">
        <v>27</v>
      </c>
    </row>
    <row r="44">
      <c r="A44" s="3" t="s">
        <v>440</v>
      </c>
      <c r="B44" s="3" t="s">
        <v>344</v>
      </c>
      <c r="C44" s="3" t="s">
        <v>27</v>
      </c>
      <c r="D44" s="3" t="s">
        <v>27</v>
      </c>
    </row>
    <row r="45">
      <c r="A45" s="3" t="s">
        <v>441</v>
      </c>
      <c r="B45" s="3" t="s">
        <v>346</v>
      </c>
      <c r="C45" s="3" t="s">
        <v>532</v>
      </c>
      <c r="D45" s="3" t="s">
        <v>443</v>
      </c>
    </row>
    <row r="46">
      <c r="A46" s="3" t="s">
        <v>444</v>
      </c>
      <c r="B46" s="3" t="s">
        <v>445</v>
      </c>
      <c r="C46" s="3">
        <v>1050000</v>
      </c>
      <c r="D46" s="3" t="s">
        <v>446</v>
      </c>
    </row>
    <row r="47">
      <c r="A47" s="3" t="s">
        <v>447</v>
      </c>
      <c r="B47" s="3" t="s">
        <v>348</v>
      </c>
      <c r="C47" s="3" t="s">
        <v>27</v>
      </c>
      <c r="D47" s="3" t="s">
        <v>27</v>
      </c>
    </row>
    <row r="48">
      <c r="A48" s="3" t="s">
        <v>448</v>
      </c>
      <c r="B48" s="3" t="s">
        <v>449</v>
      </c>
      <c r="C48" s="3" t="s">
        <v>450</v>
      </c>
      <c r="D48" s="3" t="s">
        <v>450</v>
      </c>
    </row>
    <row r="49">
      <c r="A49" s="3" t="s">
        <v>451</v>
      </c>
      <c r="B49" s="3" t="s">
        <v>350</v>
      </c>
      <c r="C49" s="3" t="s">
        <v>27</v>
      </c>
      <c r="D49" s="3" t="s">
        <v>27</v>
      </c>
    </row>
    <row r="50">
      <c r="A50" s="3" t="s">
        <v>452</v>
      </c>
      <c r="B50" s="3" t="s">
        <v>453</v>
      </c>
      <c r="C50" s="3" t="s">
        <v>454</v>
      </c>
      <c r="D50" s="3" t="s">
        <v>454</v>
      </c>
    </row>
    <row r="51">
      <c r="A51" s="3" t="s">
        <v>455</v>
      </c>
      <c r="B51" s="3" t="s">
        <v>352</v>
      </c>
      <c r="C51" s="3" t="s">
        <v>533</v>
      </c>
      <c r="D51" s="3" t="s">
        <v>456</v>
      </c>
    </row>
    <row r="52">
      <c r="A52" s="3" t="s">
        <v>457</v>
      </c>
      <c r="B52" s="3" t="s">
        <v>458</v>
      </c>
      <c r="C52" s="3" t="s">
        <v>379</v>
      </c>
      <c r="D52" s="3" t="s">
        <v>27</v>
      </c>
    </row>
    <row r="53">
      <c r="A53" s="3" t="s">
        <v>459</v>
      </c>
      <c r="B53" s="3" t="s">
        <v>354</v>
      </c>
      <c r="C53" s="3" t="s">
        <v>534</v>
      </c>
      <c r="D53" s="3" t="s">
        <v>27</v>
      </c>
    </row>
    <row r="54">
      <c r="A54" s="3" t="s">
        <v>110</v>
      </c>
      <c r="B54" s="3" t="s">
        <v>461</v>
      </c>
      <c r="C54" s="3">
        <v>1320000</v>
      </c>
      <c r="D54" s="3" t="s">
        <v>27</v>
      </c>
    </row>
    <row r="55">
      <c r="A55" s="3" t="s">
        <v>102</v>
      </c>
      <c r="B55" s="3" t="s">
        <v>356</v>
      </c>
      <c r="C55" s="3">
        <v>2425000</v>
      </c>
      <c r="D55" s="3" t="s">
        <v>27</v>
      </c>
    </row>
    <row r="56">
      <c r="A56" s="3" t="s">
        <v>462</v>
      </c>
      <c r="B56" s="3" t="s">
        <v>463</v>
      </c>
      <c r="C56" s="3">
        <v>2425000</v>
      </c>
      <c r="D56" s="3" t="s">
        <v>27</v>
      </c>
    </row>
  </sheetData>
</worksheet>
</file>

<file path=xl/worksheets/sheet21.xml><?xml version="1.0" encoding="utf-8"?>
<worksheet xmlns="http://schemas.openxmlformats.org/spreadsheetml/2006/main">
  <dimension ref="A1"/>
  <sheetViews>
    <sheetView workbookViewId="0"/>
  </sheetViews>
  <cols>
    <col customWidth="true" max="4" min="1" width="22"/>
  </cols>
  <sheetData>
    <row r="1">
      <c r="A1" s="3" t="s">
        <v>464</v>
      </c>
      <c r="B1" s="3" t="s">
        <v>27</v>
      </c>
      <c r="C1" s="3" t="s">
        <v>27</v>
      </c>
      <c r="D1" s="3" t="s">
        <v>27</v>
      </c>
    </row>
    <row r="2">
      <c r="A2" s="3" t="s">
        <v>284</v>
      </c>
      <c r="B2" s="3" t="s">
        <v>493</v>
      </c>
      <c r="C2" s="3" t="s">
        <v>27</v>
      </c>
      <c r="D2" s="3" t="s">
        <v>286</v>
      </c>
    </row>
    <row r="3">
      <c r="A3" s="2" t="s">
        <v>0</v>
      </c>
      <c r="B3" s="2" t="s">
        <v>287</v>
      </c>
      <c r="C3" s="2" t="s">
        <v>289</v>
      </c>
      <c r="D3" s="2" t="s">
        <v>288</v>
      </c>
    </row>
    <row r="4">
      <c r="A4" s="3" t="s">
        <v>465</v>
      </c>
      <c r="B4" s="3" t="s">
        <v>291</v>
      </c>
      <c r="C4" s="3">
        <v>1185000</v>
      </c>
      <c r="D4" s="3">
        <v>2055000</v>
      </c>
    </row>
    <row r="5">
      <c r="A5" s="3" t="s">
        <v>467</v>
      </c>
      <c r="B5" s="3" t="s">
        <v>294</v>
      </c>
      <c r="C5" s="3" t="s">
        <v>535</v>
      </c>
      <c r="D5" s="3" t="s">
        <v>521</v>
      </c>
    </row>
    <row r="6">
      <c r="A6" s="3" t="s">
        <v>468</v>
      </c>
      <c r="B6" s="3" t="s">
        <v>297</v>
      </c>
      <c r="C6" s="3" t="s">
        <v>536</v>
      </c>
      <c r="D6" s="3" t="s">
        <v>528</v>
      </c>
    </row>
    <row r="7">
      <c r="A7" s="3" t="s">
        <v>470</v>
      </c>
      <c r="B7" s="3" t="s">
        <v>300</v>
      </c>
      <c r="C7" s="3" t="s">
        <v>537</v>
      </c>
      <c r="D7" s="3" t="s">
        <v>538</v>
      </c>
    </row>
    <row r="8">
      <c r="A8" s="3" t="s">
        <v>471</v>
      </c>
      <c r="B8" s="3" t="s">
        <v>302</v>
      </c>
      <c r="C8" s="3" t="s">
        <v>539</v>
      </c>
      <c r="D8" s="3" t="s">
        <v>416</v>
      </c>
    </row>
    <row r="9">
      <c r="A9" s="3" t="s">
        <v>473</v>
      </c>
      <c r="B9" s="3" t="s">
        <v>304</v>
      </c>
      <c r="C9" s="3" t="s">
        <v>540</v>
      </c>
      <c r="D9" s="3" t="s">
        <v>541</v>
      </c>
    </row>
    <row r="10">
      <c r="A10" s="3" t="s">
        <v>475</v>
      </c>
      <c r="B10" s="3" t="s">
        <v>306</v>
      </c>
      <c r="C10" s="3" t="s">
        <v>474</v>
      </c>
      <c r="D10" s="3" t="s">
        <v>542</v>
      </c>
    </row>
    <row r="11">
      <c r="A11" s="3" t="s">
        <v>476</v>
      </c>
      <c r="B11" s="3" t="s">
        <v>308</v>
      </c>
      <c r="C11" s="3" t="s">
        <v>27</v>
      </c>
      <c r="D11" s="3" t="s">
        <v>27</v>
      </c>
    </row>
    <row r="12">
      <c r="A12" s="3" t="s">
        <v>477</v>
      </c>
      <c r="B12" s="3" t="s">
        <v>310</v>
      </c>
      <c r="C12" s="3" t="s">
        <v>27</v>
      </c>
      <c r="D12" s="3" t="s">
        <v>27</v>
      </c>
    </row>
    <row r="13">
      <c r="A13" s="3" t="s">
        <v>478</v>
      </c>
      <c r="B13" s="3" t="s">
        <v>312</v>
      </c>
      <c r="C13" s="3" t="s">
        <v>27</v>
      </c>
      <c r="D13" s="3" t="s">
        <v>27</v>
      </c>
    </row>
    <row r="14">
      <c r="A14" s="3" t="s">
        <v>479</v>
      </c>
      <c r="B14" s="3" t="s">
        <v>313</v>
      </c>
      <c r="C14" s="3" t="s">
        <v>27</v>
      </c>
      <c r="D14" s="3" t="s">
        <v>27</v>
      </c>
    </row>
    <row r="15">
      <c r="A15" s="3" t="s">
        <v>480</v>
      </c>
      <c r="B15" s="3" t="s">
        <v>316</v>
      </c>
      <c r="C15" s="3" t="s">
        <v>522</v>
      </c>
      <c r="D15" s="3" t="s">
        <v>328</v>
      </c>
    </row>
    <row r="16">
      <c r="A16" s="3" t="s">
        <v>482</v>
      </c>
      <c r="B16" s="3" t="s">
        <v>318</v>
      </c>
      <c r="C16" s="3">
        <v>-95000</v>
      </c>
      <c r="D16" s="3">
        <v>-180000</v>
      </c>
    </row>
    <row r="17">
      <c r="A17" s="3" t="s">
        <v>483</v>
      </c>
      <c r="B17" s="3" t="s">
        <v>320</v>
      </c>
      <c r="C17" s="3" t="s">
        <v>27</v>
      </c>
      <c r="D17" s="3" t="s">
        <v>27</v>
      </c>
    </row>
    <row r="18">
      <c r="A18" s="3" t="s">
        <v>484</v>
      </c>
      <c r="B18" s="3" t="s">
        <v>323</v>
      </c>
      <c r="C18" s="3" t="s">
        <v>27</v>
      </c>
      <c r="D18" s="3" t="s">
        <v>485</v>
      </c>
    </row>
    <row r="19">
      <c r="A19" s="3" t="s">
        <v>486</v>
      </c>
      <c r="B19" s="3" t="s">
        <v>325</v>
      </c>
      <c r="C19" s="3" t="s">
        <v>27</v>
      </c>
      <c r="D19" s="3" t="s">
        <v>27</v>
      </c>
    </row>
    <row r="20">
      <c r="A20" s="3" t="s">
        <v>487</v>
      </c>
      <c r="B20" s="3" t="s">
        <v>327</v>
      </c>
      <c r="C20" s="3" t="s">
        <v>543</v>
      </c>
      <c r="D20" s="3" t="s">
        <v>543</v>
      </c>
    </row>
    <row r="21">
      <c r="A21" s="3" t="s">
        <v>488</v>
      </c>
      <c r="B21" s="3" t="s">
        <v>329</v>
      </c>
      <c r="C21" s="3" t="s">
        <v>27</v>
      </c>
      <c r="D21" s="3" t="s">
        <v>27</v>
      </c>
    </row>
    <row r="22">
      <c r="A22" s="3" t="s">
        <v>489</v>
      </c>
      <c r="B22" s="3" t="s">
        <v>332</v>
      </c>
      <c r="C22" s="3">
        <v>-6000</v>
      </c>
      <c r="D22" s="3" t="s">
        <v>544</v>
      </c>
    </row>
    <row r="23">
      <c r="A23" s="3" t="s">
        <v>490</v>
      </c>
      <c r="B23" s="3" t="s">
        <v>334</v>
      </c>
      <c r="C23" s="3" t="s">
        <v>545</v>
      </c>
      <c r="D23" s="3" t="s">
        <v>546</v>
      </c>
    </row>
    <row r="24">
      <c r="A24" s="3" t="s">
        <v>492</v>
      </c>
      <c r="B24" s="3" t="s">
        <v>336</v>
      </c>
      <c r="C24" s="3" t="s">
        <v>367</v>
      </c>
      <c r="D24" s="3" t="s">
        <v>368</v>
      </c>
    </row>
    <row r="25">
      <c r="A25" s="3" t="s">
        <v>124</v>
      </c>
      <c r="B25" s="3" t="s">
        <v>339</v>
      </c>
      <c r="C25" s="3" t="s">
        <v>518</v>
      </c>
      <c r="D25" s="3" t="s">
        <v>518</v>
      </c>
    </row>
  </sheetData>
</worksheet>
</file>

<file path=xl/worksheets/sheet22.xml><?xml version="1.0" encoding="utf-8"?>
<worksheet xmlns="http://schemas.openxmlformats.org/spreadsheetml/2006/main">
  <dimension ref="A1"/>
  <sheetViews>
    <sheetView workbookViewId="0"/>
  </sheetViews>
  <cols>
    <col customWidth="true" max="4" min="1" width="22"/>
  </cols>
  <sheetData>
    <row r="1">
      <c r="A1" s="3" t="s">
        <v>283</v>
      </c>
      <c r="B1" s="3" t="s">
        <v>27</v>
      </c>
      <c r="C1" s="3" t="s">
        <v>27</v>
      </c>
      <c r="D1" s="3" t="s">
        <v>27</v>
      </c>
    </row>
    <row r="2">
      <c r="A2" s="3" t="s">
        <v>284</v>
      </c>
      <c r="B2" s="3" t="s">
        <v>547</v>
      </c>
      <c r="C2" s="3" t="s">
        <v>27</v>
      </c>
      <c r="D2" s="3" t="s">
        <v>286</v>
      </c>
    </row>
    <row r="3">
      <c r="A3" s="2" t="s">
        <v>0</v>
      </c>
      <c r="B3" s="2" t="s">
        <v>287</v>
      </c>
      <c r="C3" s="2" t="s">
        <v>288</v>
      </c>
      <c r="D3" s="2" t="s">
        <v>289</v>
      </c>
    </row>
    <row r="4">
      <c r="A4" s="3" t="s">
        <v>290</v>
      </c>
      <c r="B4" s="3" t="s">
        <v>291</v>
      </c>
      <c r="C4" s="3">
        <v>3720000</v>
      </c>
      <c r="D4" s="3">
        <v>1510000</v>
      </c>
    </row>
    <row r="5">
      <c r="A5" s="3" t="s">
        <v>293</v>
      </c>
      <c r="B5" s="3" t="s">
        <v>294</v>
      </c>
      <c r="C5" s="3" t="s">
        <v>548</v>
      </c>
      <c r="D5" s="3" t="s">
        <v>549</v>
      </c>
    </row>
    <row r="6">
      <c r="A6" s="3" t="s">
        <v>296</v>
      </c>
      <c r="B6" s="3" t="s">
        <v>297</v>
      </c>
      <c r="C6" s="3" t="s">
        <v>550</v>
      </c>
      <c r="D6" s="3" t="s">
        <v>551</v>
      </c>
    </row>
    <row r="7">
      <c r="A7" s="3" t="s">
        <v>299</v>
      </c>
      <c r="B7" s="3" t="s">
        <v>300</v>
      </c>
      <c r="C7" s="3" t="s">
        <v>27</v>
      </c>
      <c r="D7" s="3" t="s">
        <v>27</v>
      </c>
    </row>
    <row r="8">
      <c r="A8" s="3" t="s">
        <v>301</v>
      </c>
      <c r="B8" s="3" t="s">
        <v>302</v>
      </c>
      <c r="C8" s="3" t="s">
        <v>27</v>
      </c>
      <c r="D8" s="3" t="s">
        <v>27</v>
      </c>
    </row>
    <row r="9">
      <c r="A9" s="3" t="s">
        <v>303</v>
      </c>
      <c r="B9" s="3" t="s">
        <v>304</v>
      </c>
      <c r="C9" s="3" t="s">
        <v>27</v>
      </c>
      <c r="D9" s="3" t="s">
        <v>27</v>
      </c>
    </row>
    <row r="10">
      <c r="A10" s="3" t="s">
        <v>305</v>
      </c>
      <c r="B10" s="3" t="s">
        <v>306</v>
      </c>
      <c r="C10" s="3" t="s">
        <v>27</v>
      </c>
      <c r="D10" s="3" t="s">
        <v>27</v>
      </c>
    </row>
    <row r="11">
      <c r="A11" s="3" t="s">
        <v>307</v>
      </c>
      <c r="B11" s="3" t="s">
        <v>308</v>
      </c>
      <c r="C11" s="3" t="s">
        <v>27</v>
      </c>
      <c r="D11" s="3" t="s">
        <v>27</v>
      </c>
    </row>
    <row r="12">
      <c r="A12" s="3" t="s">
        <v>309</v>
      </c>
      <c r="B12" s="3" t="s">
        <v>310</v>
      </c>
      <c r="C12" s="3" t="s">
        <v>27</v>
      </c>
      <c r="D12" s="3" t="s">
        <v>27</v>
      </c>
    </row>
    <row r="13">
      <c r="A13" s="3" t="s">
        <v>311</v>
      </c>
      <c r="B13" s="3" t="s">
        <v>312</v>
      </c>
      <c r="C13" s="3" t="s">
        <v>27</v>
      </c>
      <c r="D13" s="3" t="s">
        <v>27</v>
      </c>
    </row>
    <row r="14">
      <c r="A14" s="3" t="s">
        <v>77</v>
      </c>
      <c r="B14" s="3" t="s">
        <v>313</v>
      </c>
      <c r="C14" s="3" t="s">
        <v>552</v>
      </c>
      <c r="D14" s="3" t="s">
        <v>553</v>
      </c>
    </row>
    <row r="15">
      <c r="A15" s="3" t="s">
        <v>315</v>
      </c>
      <c r="B15" s="3" t="s">
        <v>316</v>
      </c>
      <c r="C15" s="3" t="s">
        <v>27</v>
      </c>
      <c r="D15" s="3" t="s">
        <v>27</v>
      </c>
    </row>
    <row r="16">
      <c r="A16" s="3" t="s">
        <v>317</v>
      </c>
      <c r="B16" s="3" t="s">
        <v>318</v>
      </c>
      <c r="C16" s="3" t="s">
        <v>554</v>
      </c>
      <c r="D16" s="3" t="s">
        <v>555</v>
      </c>
    </row>
    <row r="17">
      <c r="A17" s="3" t="s">
        <v>81</v>
      </c>
      <c r="B17" s="3" t="s">
        <v>320</v>
      </c>
      <c r="C17" s="3">
        <v>1037000</v>
      </c>
      <c r="D17" s="3" t="s">
        <v>556</v>
      </c>
    </row>
    <row r="18">
      <c r="A18" s="3" t="s">
        <v>322</v>
      </c>
      <c r="B18" s="3" t="s">
        <v>323</v>
      </c>
      <c r="C18" s="3" t="s">
        <v>27</v>
      </c>
      <c r="D18" s="3" t="s">
        <v>27</v>
      </c>
    </row>
    <row r="19">
      <c r="A19" s="3" t="s">
        <v>324</v>
      </c>
      <c r="B19" s="3" t="s">
        <v>325</v>
      </c>
      <c r="C19" s="3" t="s">
        <v>557</v>
      </c>
      <c r="D19" s="3" t="s">
        <v>558</v>
      </c>
    </row>
    <row r="20">
      <c r="A20" s="3" t="s">
        <v>79</v>
      </c>
      <c r="B20" s="3" t="s">
        <v>327</v>
      </c>
      <c r="C20" s="3" t="s">
        <v>559</v>
      </c>
      <c r="D20" s="3" t="s">
        <v>519</v>
      </c>
    </row>
    <row r="21">
      <c r="A21" s="3" t="s">
        <v>83</v>
      </c>
      <c r="B21" s="3" t="s">
        <v>329</v>
      </c>
      <c r="C21" s="3" t="s">
        <v>560</v>
      </c>
      <c r="D21" s="3" t="s">
        <v>561</v>
      </c>
    </row>
    <row r="22">
      <c r="A22" s="3" t="s">
        <v>331</v>
      </c>
      <c r="B22" s="3" t="s">
        <v>332</v>
      </c>
      <c r="C22" s="3" t="s">
        <v>560</v>
      </c>
      <c r="D22" s="3" t="s">
        <v>561</v>
      </c>
    </row>
    <row r="23">
      <c r="A23" s="3" t="s">
        <v>333</v>
      </c>
      <c r="B23" s="3" t="s">
        <v>334</v>
      </c>
      <c r="C23" s="3" t="s">
        <v>27</v>
      </c>
      <c r="D23" s="3" t="s">
        <v>27</v>
      </c>
    </row>
    <row r="24">
      <c r="A24" s="3" t="s">
        <v>335</v>
      </c>
      <c r="B24" s="3" t="s">
        <v>336</v>
      </c>
      <c r="C24" s="3" t="s">
        <v>562</v>
      </c>
      <c r="D24" s="3" t="s">
        <v>563</v>
      </c>
    </row>
    <row r="25">
      <c r="A25" s="3" t="s">
        <v>338</v>
      </c>
      <c r="B25" s="3" t="s">
        <v>339</v>
      </c>
      <c r="C25" s="3" t="s">
        <v>564</v>
      </c>
      <c r="D25" s="3" t="s">
        <v>565</v>
      </c>
    </row>
    <row r="26">
      <c r="A26" s="3" t="s">
        <v>341</v>
      </c>
      <c r="B26" s="3" t="s">
        <v>342</v>
      </c>
      <c r="C26" s="3" t="s">
        <v>27</v>
      </c>
      <c r="D26" s="3" t="s">
        <v>27</v>
      </c>
    </row>
    <row r="27">
      <c r="A27" s="3" t="s">
        <v>343</v>
      </c>
      <c r="B27" s="3" t="s">
        <v>344</v>
      </c>
      <c r="C27" s="3" t="s">
        <v>27</v>
      </c>
      <c r="D27" s="3" t="s">
        <v>27</v>
      </c>
    </row>
    <row r="28">
      <c r="A28" s="3" t="s">
        <v>345</v>
      </c>
      <c r="B28" s="3" t="s">
        <v>346</v>
      </c>
      <c r="C28" s="3" t="s">
        <v>27</v>
      </c>
      <c r="D28" s="3" t="s">
        <v>27</v>
      </c>
    </row>
    <row r="29">
      <c r="A29" s="3" t="s">
        <v>347</v>
      </c>
      <c r="B29" s="3" t="s">
        <v>348</v>
      </c>
      <c r="C29" s="3" t="s">
        <v>27</v>
      </c>
      <c r="D29" s="3" t="s">
        <v>27</v>
      </c>
    </row>
    <row r="30">
      <c r="A30" s="3" t="s">
        <v>349</v>
      </c>
      <c r="B30" s="3" t="s">
        <v>350</v>
      </c>
      <c r="C30" s="3" t="s">
        <v>27</v>
      </c>
      <c r="D30" s="3" t="s">
        <v>27</v>
      </c>
    </row>
    <row r="31">
      <c r="A31" s="3" t="s">
        <v>351</v>
      </c>
      <c r="B31" s="3" t="s">
        <v>352</v>
      </c>
      <c r="C31" s="3" t="s">
        <v>27</v>
      </c>
      <c r="D31" s="3" t="s">
        <v>27</v>
      </c>
    </row>
    <row r="32">
      <c r="A32" s="3" t="s">
        <v>353</v>
      </c>
      <c r="B32" s="3" t="s">
        <v>354</v>
      </c>
      <c r="C32" s="3" t="s">
        <v>27</v>
      </c>
      <c r="D32" s="3" t="s">
        <v>27</v>
      </c>
    </row>
    <row r="33">
      <c r="A33" s="3" t="s">
        <v>355</v>
      </c>
      <c r="B33" s="3" t="s">
        <v>356</v>
      </c>
      <c r="C33" s="3" t="s">
        <v>566</v>
      </c>
      <c r="D33" s="3" t="s">
        <v>567</v>
      </c>
    </row>
    <row r="34">
      <c r="A34" s="3" t="s">
        <v>358</v>
      </c>
      <c r="B34" s="3" t="s">
        <v>359</v>
      </c>
      <c r="C34" s="3" t="s">
        <v>568</v>
      </c>
      <c r="D34" s="3" t="s">
        <v>569</v>
      </c>
    </row>
    <row r="35">
      <c r="A35" s="3" t="s">
        <v>361</v>
      </c>
      <c r="B35" s="3" t="s">
        <v>362</v>
      </c>
      <c r="C35" s="3" t="s">
        <v>570</v>
      </c>
      <c r="D35" s="3" t="s">
        <v>571</v>
      </c>
    </row>
  </sheetData>
</worksheet>
</file>

<file path=xl/worksheets/sheet23.xml><?xml version="1.0" encoding="utf-8"?>
<worksheet xmlns="http://schemas.openxmlformats.org/spreadsheetml/2006/main">
  <dimension ref="A1"/>
  <sheetViews>
    <sheetView workbookViewId="0"/>
  </sheetViews>
  <cols>
    <col customWidth="true" max="4" min="1" width="22"/>
  </cols>
  <sheetData>
    <row r="1">
      <c r="A1" s="3" t="s">
        <v>364</v>
      </c>
      <c r="B1" s="3" t="s">
        <v>27</v>
      </c>
      <c r="C1" s="3" t="s">
        <v>27</v>
      </c>
      <c r="D1" s="3" t="s">
        <v>27</v>
      </c>
    </row>
    <row r="2">
      <c r="A2" s="3" t="s">
        <v>284</v>
      </c>
      <c r="B2" s="3">
        <v>45930</v>
      </c>
      <c r="C2" s="3" t="s">
        <v>27</v>
      </c>
      <c r="D2" s="3" t="s">
        <v>286</v>
      </c>
    </row>
    <row r="3">
      <c r="A3" s="2" t="s">
        <v>0</v>
      </c>
      <c r="B3" s="2" t="s">
        <v>287</v>
      </c>
      <c r="C3" s="2" t="s">
        <v>365</v>
      </c>
      <c r="D3" s="2" t="s">
        <v>366</v>
      </c>
    </row>
    <row r="4">
      <c r="A4" s="3" t="s">
        <v>96</v>
      </c>
      <c r="B4" s="3" t="s">
        <v>291</v>
      </c>
      <c r="C4" s="3">
        <v>1111000</v>
      </c>
      <c r="D4" s="3" t="s">
        <v>368</v>
      </c>
    </row>
    <row r="5">
      <c r="A5" s="3" t="s">
        <v>369</v>
      </c>
      <c r="B5" s="3" t="s">
        <v>359</v>
      </c>
      <c r="C5" s="3" t="s">
        <v>27</v>
      </c>
      <c r="D5" s="3" t="s">
        <v>27</v>
      </c>
    </row>
    <row r="6">
      <c r="A6" s="3" t="s">
        <v>370</v>
      </c>
      <c r="B6" s="3" t="s">
        <v>294</v>
      </c>
      <c r="C6" s="3" t="s">
        <v>27</v>
      </c>
      <c r="D6" s="3" t="s">
        <v>27</v>
      </c>
    </row>
    <row r="7">
      <c r="A7" s="3" t="s">
        <v>371</v>
      </c>
      <c r="B7" s="3" t="s">
        <v>362</v>
      </c>
      <c r="C7" s="3" t="s">
        <v>27</v>
      </c>
      <c r="D7" s="3" t="s">
        <v>27</v>
      </c>
    </row>
    <row r="8">
      <c r="A8" s="3" t="s">
        <v>372</v>
      </c>
      <c r="B8" s="3" t="s">
        <v>297</v>
      </c>
      <c r="C8" s="3" t="s">
        <v>27</v>
      </c>
      <c r="D8" s="3" t="s">
        <v>27</v>
      </c>
    </row>
    <row r="9">
      <c r="A9" s="3" t="s">
        <v>104</v>
      </c>
      <c r="B9" s="3" t="s">
        <v>373</v>
      </c>
      <c r="C9" s="3" t="s">
        <v>572</v>
      </c>
      <c r="D9" s="3" t="s">
        <v>328</v>
      </c>
    </row>
    <row r="10">
      <c r="A10" s="3" t="s">
        <v>98</v>
      </c>
      <c r="B10" s="3" t="s">
        <v>300</v>
      </c>
      <c r="C10" s="3" t="s">
        <v>573</v>
      </c>
      <c r="D10" s="3" t="s">
        <v>376</v>
      </c>
    </row>
    <row r="11">
      <c r="A11" s="3" t="s">
        <v>377</v>
      </c>
      <c r="B11" s="3" t="s">
        <v>378</v>
      </c>
      <c r="C11" s="3" t="s">
        <v>443</v>
      </c>
      <c r="D11" s="3" t="s">
        <v>380</v>
      </c>
    </row>
    <row r="12">
      <c r="A12" s="3" t="s">
        <v>381</v>
      </c>
      <c r="B12" s="3" t="s">
        <v>302</v>
      </c>
      <c r="C12" s="3" t="s">
        <v>574</v>
      </c>
      <c r="D12" s="3" t="s">
        <v>382</v>
      </c>
    </row>
    <row r="13">
      <c r="A13" s="3" t="s">
        <v>383</v>
      </c>
      <c r="B13" s="3" t="s">
        <v>384</v>
      </c>
      <c r="C13" s="3" t="s">
        <v>553</v>
      </c>
      <c r="D13" s="3" t="s">
        <v>314</v>
      </c>
    </row>
    <row r="14">
      <c r="A14" s="3" t="s">
        <v>386</v>
      </c>
      <c r="B14" s="3" t="s">
        <v>304</v>
      </c>
      <c r="C14" s="3" t="s">
        <v>27</v>
      </c>
      <c r="D14" s="3" t="s">
        <v>27</v>
      </c>
    </row>
    <row r="15">
      <c r="A15" s="3" t="s">
        <v>387</v>
      </c>
      <c r="B15" s="3" t="s">
        <v>388</v>
      </c>
      <c r="C15" s="3" t="s">
        <v>575</v>
      </c>
      <c r="D15" s="3" t="s">
        <v>390</v>
      </c>
    </row>
    <row r="16">
      <c r="A16" s="3" t="s">
        <v>391</v>
      </c>
      <c r="B16" s="3" t="s">
        <v>306</v>
      </c>
      <c r="C16" s="3" t="s">
        <v>27</v>
      </c>
      <c r="D16" s="3" t="s">
        <v>27</v>
      </c>
    </row>
    <row r="17">
      <c r="A17" s="3" t="s">
        <v>392</v>
      </c>
      <c r="B17" s="3" t="s">
        <v>393</v>
      </c>
      <c r="C17" s="3" t="s">
        <v>27</v>
      </c>
      <c r="D17" s="3" t="s">
        <v>27</v>
      </c>
    </row>
    <row r="18">
      <c r="A18" s="3" t="s">
        <v>394</v>
      </c>
      <c r="B18" s="3" t="s">
        <v>308</v>
      </c>
      <c r="C18" s="3" t="s">
        <v>576</v>
      </c>
      <c r="D18" s="3" t="s">
        <v>396</v>
      </c>
    </row>
    <row r="19">
      <c r="A19" s="3" t="s">
        <v>397</v>
      </c>
      <c r="B19" s="3" t="s">
        <v>398</v>
      </c>
      <c r="C19" s="3" t="s">
        <v>27</v>
      </c>
      <c r="D19" s="3" t="s">
        <v>27</v>
      </c>
    </row>
    <row r="20">
      <c r="A20" s="3" t="s">
        <v>399</v>
      </c>
      <c r="B20" s="3" t="s">
        <v>310</v>
      </c>
      <c r="C20" s="3" t="s">
        <v>27</v>
      </c>
      <c r="D20" s="3" t="s">
        <v>27</v>
      </c>
    </row>
    <row r="21">
      <c r="A21" s="3" t="s">
        <v>400</v>
      </c>
      <c r="B21" s="3" t="s">
        <v>401</v>
      </c>
      <c r="C21" s="3" t="s">
        <v>380</v>
      </c>
      <c r="D21" s="3" t="s">
        <v>403</v>
      </c>
    </row>
    <row r="22">
      <c r="A22" s="3" t="s">
        <v>404</v>
      </c>
      <c r="B22" s="3" t="s">
        <v>312</v>
      </c>
      <c r="C22" s="3" t="s">
        <v>27</v>
      </c>
      <c r="D22" s="3" t="s">
        <v>27</v>
      </c>
    </row>
    <row r="23">
      <c r="A23" s="3" t="s">
        <v>405</v>
      </c>
      <c r="B23" s="3" t="s">
        <v>406</v>
      </c>
      <c r="C23" s="3" t="s">
        <v>27</v>
      </c>
      <c r="D23" s="3" t="s">
        <v>27</v>
      </c>
    </row>
    <row r="24">
      <c r="A24" s="3" t="s">
        <v>407</v>
      </c>
      <c r="B24" s="3" t="s">
        <v>313</v>
      </c>
      <c r="C24" s="3" t="s">
        <v>27</v>
      </c>
      <c r="D24" s="3" t="s">
        <v>27</v>
      </c>
    </row>
    <row r="25">
      <c r="A25" s="3" t="s">
        <v>106</v>
      </c>
      <c r="B25" s="3" t="s">
        <v>408</v>
      </c>
      <c r="C25" s="3" t="s">
        <v>577</v>
      </c>
      <c r="D25" s="3" t="s">
        <v>27</v>
      </c>
    </row>
    <row r="26">
      <c r="A26" s="3" t="s">
        <v>410</v>
      </c>
      <c r="B26" s="3" t="s">
        <v>316</v>
      </c>
      <c r="C26" s="3" t="s">
        <v>27</v>
      </c>
      <c r="D26" s="3" t="s">
        <v>27</v>
      </c>
    </row>
    <row r="27">
      <c r="A27" s="3" t="s">
        <v>411</v>
      </c>
      <c r="B27" s="3" t="s">
        <v>318</v>
      </c>
      <c r="C27" s="3" t="s">
        <v>27</v>
      </c>
      <c r="D27" s="3" t="s">
        <v>27</v>
      </c>
    </row>
    <row r="28">
      <c r="A28" s="3" t="s">
        <v>412</v>
      </c>
      <c r="B28" s="3" t="s">
        <v>413</v>
      </c>
      <c r="C28" s="3" t="s">
        <v>414</v>
      </c>
      <c r="D28" s="3" t="s">
        <v>414</v>
      </c>
    </row>
    <row r="29">
      <c r="A29" s="3" t="s">
        <v>415</v>
      </c>
      <c r="B29" s="3" t="s">
        <v>320</v>
      </c>
      <c r="C29" s="3" t="s">
        <v>395</v>
      </c>
      <c r="D29" s="3" t="s">
        <v>390</v>
      </c>
    </row>
    <row r="30">
      <c r="A30" s="3" t="s">
        <v>417</v>
      </c>
      <c r="B30" s="3" t="s">
        <v>418</v>
      </c>
      <c r="C30" s="3" t="s">
        <v>27</v>
      </c>
      <c r="D30" s="3" t="s">
        <v>27</v>
      </c>
    </row>
    <row r="31">
      <c r="A31" s="3" t="s">
        <v>100</v>
      </c>
      <c r="B31" s="3" t="s">
        <v>323</v>
      </c>
      <c r="C31" s="3">
        <v>1772000</v>
      </c>
      <c r="D31" s="3" t="s">
        <v>27</v>
      </c>
    </row>
    <row r="32">
      <c r="A32" s="3" t="s">
        <v>419</v>
      </c>
      <c r="B32" s="3" t="s">
        <v>420</v>
      </c>
      <c r="C32" s="3" t="s">
        <v>416</v>
      </c>
      <c r="D32" s="3" t="s">
        <v>395</v>
      </c>
    </row>
    <row r="33">
      <c r="A33" s="3" t="s">
        <v>422</v>
      </c>
      <c r="B33" s="3" t="s">
        <v>423</v>
      </c>
      <c r="C33" s="3" t="s">
        <v>27</v>
      </c>
      <c r="D33" s="3" t="s">
        <v>27</v>
      </c>
    </row>
    <row r="34">
      <c r="A34" s="3" t="s">
        <v>424</v>
      </c>
      <c r="B34" s="3" t="s">
        <v>325</v>
      </c>
      <c r="C34" s="3" t="s">
        <v>27</v>
      </c>
      <c r="D34" s="3" t="s">
        <v>27</v>
      </c>
    </row>
    <row r="35">
      <c r="A35" s="3" t="s">
        <v>425</v>
      </c>
      <c r="B35" s="3" t="s">
        <v>426</v>
      </c>
      <c r="C35" s="3" t="s">
        <v>578</v>
      </c>
      <c r="D35" s="3" t="s">
        <v>27</v>
      </c>
    </row>
    <row r="36">
      <c r="A36" s="3" t="s">
        <v>428</v>
      </c>
      <c r="B36" s="3" t="s">
        <v>327</v>
      </c>
      <c r="C36" s="3" t="s">
        <v>27</v>
      </c>
      <c r="D36" s="3" t="s">
        <v>27</v>
      </c>
    </row>
    <row r="37">
      <c r="A37" s="3" t="s">
        <v>108</v>
      </c>
      <c r="B37" s="3" t="s">
        <v>429</v>
      </c>
      <c r="C37" s="3">
        <v>1212000</v>
      </c>
      <c r="D37" s="3" t="s">
        <v>27</v>
      </c>
    </row>
    <row r="38">
      <c r="A38" s="3" t="s">
        <v>430</v>
      </c>
      <c r="B38" s="3" t="s">
        <v>329</v>
      </c>
      <c r="C38" s="3">
        <v>1080000</v>
      </c>
      <c r="D38" s="3" t="s">
        <v>432</v>
      </c>
    </row>
    <row r="39">
      <c r="A39" s="3" t="s">
        <v>433</v>
      </c>
      <c r="B39" s="3" t="s">
        <v>332</v>
      </c>
      <c r="C39" s="3" t="s">
        <v>321</v>
      </c>
      <c r="D39" s="3" t="s">
        <v>374</v>
      </c>
    </row>
    <row r="40">
      <c r="A40" s="3" t="s">
        <v>435</v>
      </c>
      <c r="B40" s="3" t="s">
        <v>334</v>
      </c>
      <c r="C40" s="3" t="s">
        <v>579</v>
      </c>
      <c r="D40" s="3" t="s">
        <v>27</v>
      </c>
    </row>
    <row r="41">
      <c r="A41" s="3" t="s">
        <v>437</v>
      </c>
      <c r="B41" s="3" t="s">
        <v>336</v>
      </c>
      <c r="C41" s="3" t="s">
        <v>27</v>
      </c>
      <c r="D41" s="3" t="s">
        <v>27</v>
      </c>
    </row>
    <row r="42">
      <c r="A42" s="3" t="s">
        <v>438</v>
      </c>
      <c r="B42" s="3" t="s">
        <v>339</v>
      </c>
      <c r="C42" s="3" t="s">
        <v>27</v>
      </c>
      <c r="D42" s="3" t="s">
        <v>27</v>
      </c>
    </row>
    <row r="43">
      <c r="A43" s="3" t="s">
        <v>439</v>
      </c>
      <c r="B43" s="3" t="s">
        <v>342</v>
      </c>
      <c r="C43" s="3" t="s">
        <v>27</v>
      </c>
      <c r="D43" s="3" t="s">
        <v>27</v>
      </c>
    </row>
    <row r="44">
      <c r="A44" s="3" t="s">
        <v>440</v>
      </c>
      <c r="B44" s="3" t="s">
        <v>344</v>
      </c>
      <c r="C44" s="3" t="s">
        <v>27</v>
      </c>
      <c r="D44" s="3" t="s">
        <v>27</v>
      </c>
    </row>
    <row r="45">
      <c r="A45" s="3" t="s">
        <v>441</v>
      </c>
      <c r="B45" s="3" t="s">
        <v>346</v>
      </c>
      <c r="C45" s="3" t="s">
        <v>580</v>
      </c>
      <c r="D45" s="3" t="s">
        <v>443</v>
      </c>
    </row>
    <row r="46">
      <c r="A46" s="3" t="s">
        <v>444</v>
      </c>
      <c r="B46" s="3" t="s">
        <v>445</v>
      </c>
      <c r="C46" s="3">
        <v>1050000</v>
      </c>
      <c r="D46" s="3" t="s">
        <v>446</v>
      </c>
    </row>
    <row r="47">
      <c r="A47" s="3" t="s">
        <v>447</v>
      </c>
      <c r="B47" s="3" t="s">
        <v>348</v>
      </c>
      <c r="C47" s="3" t="s">
        <v>27</v>
      </c>
      <c r="D47" s="3" t="s">
        <v>27</v>
      </c>
    </row>
    <row r="48">
      <c r="A48" s="3" t="s">
        <v>448</v>
      </c>
      <c r="B48" s="3" t="s">
        <v>449</v>
      </c>
      <c r="C48" s="3" t="s">
        <v>450</v>
      </c>
      <c r="D48" s="3" t="s">
        <v>450</v>
      </c>
    </row>
    <row r="49">
      <c r="A49" s="3" t="s">
        <v>451</v>
      </c>
      <c r="B49" s="3" t="s">
        <v>350</v>
      </c>
      <c r="C49" s="3" t="s">
        <v>27</v>
      </c>
      <c r="D49" s="3" t="s">
        <v>27</v>
      </c>
    </row>
    <row r="50">
      <c r="A50" s="3" t="s">
        <v>452</v>
      </c>
      <c r="B50" s="3" t="s">
        <v>453</v>
      </c>
      <c r="C50" s="3" t="s">
        <v>454</v>
      </c>
      <c r="D50" s="3" t="s">
        <v>454</v>
      </c>
    </row>
    <row r="51">
      <c r="A51" s="3" t="s">
        <v>455</v>
      </c>
      <c r="B51" s="3" t="s">
        <v>352</v>
      </c>
      <c r="C51" s="3" t="s">
        <v>535</v>
      </c>
      <c r="D51" s="3" t="s">
        <v>456</v>
      </c>
    </row>
    <row r="52">
      <c r="A52" s="3" t="s">
        <v>457</v>
      </c>
      <c r="B52" s="3" t="s">
        <v>458</v>
      </c>
      <c r="C52" s="3" t="s">
        <v>581</v>
      </c>
      <c r="D52" s="3" t="s">
        <v>27</v>
      </c>
    </row>
    <row r="53">
      <c r="A53" s="3" t="s">
        <v>459</v>
      </c>
      <c r="B53" s="3" t="s">
        <v>354</v>
      </c>
      <c r="C53" s="3">
        <v>1017000</v>
      </c>
      <c r="D53" s="3" t="s">
        <v>27</v>
      </c>
    </row>
    <row r="54">
      <c r="A54" s="3" t="s">
        <v>110</v>
      </c>
      <c r="B54" s="3" t="s">
        <v>461</v>
      </c>
      <c r="C54" s="3">
        <v>1577000</v>
      </c>
      <c r="D54" s="3" t="s">
        <v>27</v>
      </c>
    </row>
    <row r="55">
      <c r="A55" s="3" t="s">
        <v>102</v>
      </c>
      <c r="B55" s="3" t="s">
        <v>356</v>
      </c>
      <c r="C55" s="3">
        <v>2789000</v>
      </c>
      <c r="D55" s="3" t="s">
        <v>27</v>
      </c>
    </row>
    <row r="56">
      <c r="A56" s="3" t="s">
        <v>462</v>
      </c>
      <c r="B56" s="3" t="s">
        <v>463</v>
      </c>
      <c r="C56" s="3">
        <v>2789000</v>
      </c>
      <c r="D56" s="3" t="s">
        <v>27</v>
      </c>
    </row>
  </sheetData>
</worksheet>
</file>

<file path=xl/worksheets/sheet24.xml><?xml version="1.0" encoding="utf-8"?>
<worksheet xmlns="http://schemas.openxmlformats.org/spreadsheetml/2006/main">
  <dimension ref="A1"/>
  <sheetViews>
    <sheetView workbookViewId="0"/>
  </sheetViews>
  <cols>
    <col customWidth="true" max="4" min="1" width="22"/>
  </cols>
  <sheetData>
    <row r="1">
      <c r="A1" s="3" t="s">
        <v>464</v>
      </c>
      <c r="B1" s="3" t="s">
        <v>27</v>
      </c>
      <c r="C1" s="3" t="s">
        <v>27</v>
      </c>
      <c r="D1" s="3" t="s">
        <v>27</v>
      </c>
    </row>
    <row r="2">
      <c r="A2" s="3" t="s">
        <v>284</v>
      </c>
      <c r="B2" s="3" t="s">
        <v>547</v>
      </c>
      <c r="C2" s="3" t="s">
        <v>27</v>
      </c>
      <c r="D2" s="3" t="s">
        <v>286</v>
      </c>
    </row>
    <row r="3">
      <c r="A3" s="2" t="s">
        <v>0</v>
      </c>
      <c r="B3" s="2" t="s">
        <v>287</v>
      </c>
      <c r="C3" s="2" t="s">
        <v>289</v>
      </c>
      <c r="D3" s="2" t="s">
        <v>288</v>
      </c>
    </row>
    <row r="4">
      <c r="A4" s="3" t="s">
        <v>465</v>
      </c>
      <c r="B4" s="3" t="s">
        <v>291</v>
      </c>
      <c r="C4" s="3">
        <v>1485000</v>
      </c>
      <c r="D4" s="3">
        <v>3540000</v>
      </c>
    </row>
    <row r="5">
      <c r="A5" s="3" t="s">
        <v>467</v>
      </c>
      <c r="B5" s="3" t="s">
        <v>294</v>
      </c>
      <c r="C5" s="3" t="s">
        <v>582</v>
      </c>
      <c r="D5" s="3" t="s">
        <v>583</v>
      </c>
    </row>
    <row r="6">
      <c r="A6" s="3" t="s">
        <v>468</v>
      </c>
      <c r="B6" s="3" t="s">
        <v>297</v>
      </c>
      <c r="C6" s="3" t="s">
        <v>584</v>
      </c>
      <c r="D6" s="3" t="s">
        <v>585</v>
      </c>
    </row>
    <row r="7">
      <c r="A7" s="3" t="s">
        <v>470</v>
      </c>
      <c r="B7" s="3" t="s">
        <v>300</v>
      </c>
      <c r="C7" s="3" t="s">
        <v>586</v>
      </c>
      <c r="D7" s="3">
        <v>1168000</v>
      </c>
    </row>
    <row r="8">
      <c r="A8" s="3" t="s">
        <v>471</v>
      </c>
      <c r="B8" s="3" t="s">
        <v>302</v>
      </c>
      <c r="C8" s="3" t="s">
        <v>587</v>
      </c>
      <c r="D8" s="3" t="s">
        <v>588</v>
      </c>
    </row>
    <row r="9">
      <c r="A9" s="3" t="s">
        <v>473</v>
      </c>
      <c r="B9" s="3" t="s">
        <v>304</v>
      </c>
      <c r="C9" s="3" t="s">
        <v>589</v>
      </c>
      <c r="D9" s="3">
        <v>1037000</v>
      </c>
    </row>
    <row r="10">
      <c r="A10" s="3" t="s">
        <v>475</v>
      </c>
      <c r="B10" s="3" t="s">
        <v>306</v>
      </c>
      <c r="C10" s="3" t="s">
        <v>590</v>
      </c>
      <c r="D10" s="3" t="s">
        <v>591</v>
      </c>
    </row>
    <row r="11">
      <c r="A11" s="3" t="s">
        <v>476</v>
      </c>
      <c r="B11" s="3" t="s">
        <v>308</v>
      </c>
      <c r="C11" s="3" t="s">
        <v>27</v>
      </c>
      <c r="D11" s="3" t="s">
        <v>27</v>
      </c>
    </row>
    <row r="12">
      <c r="A12" s="3" t="s">
        <v>477</v>
      </c>
      <c r="B12" s="3" t="s">
        <v>310</v>
      </c>
      <c r="C12" s="3" t="s">
        <v>27</v>
      </c>
      <c r="D12" s="3" t="s">
        <v>27</v>
      </c>
    </row>
    <row r="13">
      <c r="A13" s="3" t="s">
        <v>478</v>
      </c>
      <c r="B13" s="3" t="s">
        <v>312</v>
      </c>
      <c r="C13" s="3" t="s">
        <v>27</v>
      </c>
      <c r="D13" s="3" t="s">
        <v>27</v>
      </c>
    </row>
    <row r="14">
      <c r="A14" s="3" t="s">
        <v>479</v>
      </c>
      <c r="B14" s="3" t="s">
        <v>313</v>
      </c>
      <c r="C14" s="3" t="s">
        <v>27</v>
      </c>
      <c r="D14" s="3" t="s">
        <v>27</v>
      </c>
    </row>
    <row r="15">
      <c r="A15" s="3" t="s">
        <v>480</v>
      </c>
      <c r="B15" s="3" t="s">
        <v>316</v>
      </c>
      <c r="C15" s="3" t="s">
        <v>450</v>
      </c>
      <c r="D15" s="3" t="s">
        <v>592</v>
      </c>
    </row>
    <row r="16">
      <c r="A16" s="3" t="s">
        <v>482</v>
      </c>
      <c r="B16" s="3" t="s">
        <v>318</v>
      </c>
      <c r="C16" s="3">
        <v>-120000</v>
      </c>
      <c r="D16" s="3">
        <v>-300000</v>
      </c>
    </row>
    <row r="17">
      <c r="A17" s="3" t="s">
        <v>483</v>
      </c>
      <c r="B17" s="3" t="s">
        <v>320</v>
      </c>
      <c r="C17" s="3" t="s">
        <v>27</v>
      </c>
      <c r="D17" s="3" t="s">
        <v>27</v>
      </c>
    </row>
    <row r="18">
      <c r="A18" s="3" t="s">
        <v>484</v>
      </c>
      <c r="B18" s="3" t="s">
        <v>323</v>
      </c>
      <c r="C18" s="3" t="s">
        <v>27</v>
      </c>
      <c r="D18" s="3" t="s">
        <v>485</v>
      </c>
    </row>
    <row r="19">
      <c r="A19" s="3" t="s">
        <v>486</v>
      </c>
      <c r="B19" s="3" t="s">
        <v>325</v>
      </c>
      <c r="C19" s="3" t="s">
        <v>27</v>
      </c>
      <c r="D19" s="3" t="s">
        <v>27</v>
      </c>
    </row>
    <row r="20">
      <c r="A20" s="3" t="s">
        <v>487</v>
      </c>
      <c r="B20" s="3" t="s">
        <v>327</v>
      </c>
      <c r="C20" s="3" t="s">
        <v>593</v>
      </c>
      <c r="D20" s="3" t="s">
        <v>594</v>
      </c>
    </row>
    <row r="21">
      <c r="A21" s="3" t="s">
        <v>488</v>
      </c>
      <c r="B21" s="3" t="s">
        <v>329</v>
      </c>
      <c r="C21" s="3" t="s">
        <v>27</v>
      </c>
      <c r="D21" s="3" t="s">
        <v>27</v>
      </c>
    </row>
    <row r="22">
      <c r="A22" s="3" t="s">
        <v>489</v>
      </c>
      <c r="B22" s="3" t="s">
        <v>332</v>
      </c>
      <c r="C22" s="3">
        <v>-5000</v>
      </c>
      <c r="D22" s="3" t="s">
        <v>595</v>
      </c>
    </row>
    <row r="23">
      <c r="A23" s="3" t="s">
        <v>490</v>
      </c>
      <c r="B23" s="3" t="s">
        <v>334</v>
      </c>
      <c r="C23" s="3" t="s">
        <v>596</v>
      </c>
      <c r="D23" s="3" t="s">
        <v>597</v>
      </c>
    </row>
    <row r="24">
      <c r="A24" s="3" t="s">
        <v>492</v>
      </c>
      <c r="B24" s="3" t="s">
        <v>336</v>
      </c>
      <c r="C24" s="3" t="s">
        <v>518</v>
      </c>
      <c r="D24" s="3" t="s">
        <v>368</v>
      </c>
    </row>
    <row r="25">
      <c r="A25" s="3" t="s">
        <v>124</v>
      </c>
      <c r="B25" s="3" t="s">
        <v>339</v>
      </c>
      <c r="C25" s="3">
        <v>1111000</v>
      </c>
      <c r="D25" s="3">
        <v>1111000</v>
      </c>
    </row>
  </sheetData>
</worksheet>
</file>

<file path=xl/worksheets/sheet25.xml><?xml version="1.0" encoding="utf-8"?>
<worksheet xmlns="http://schemas.openxmlformats.org/spreadsheetml/2006/main">
  <dimension ref="A1"/>
  <sheetViews>
    <sheetView workbookViewId="0"/>
  </sheetViews>
  <cols>
    <col customWidth="true" max="4" min="1" width="22"/>
  </cols>
  <sheetData>
    <row r="1">
      <c r="A1" s="3" t="s">
        <v>283</v>
      </c>
      <c r="B1" s="3" t="s">
        <v>27</v>
      </c>
      <c r="C1" s="3" t="s">
        <v>27</v>
      </c>
      <c r="D1" s="3" t="s">
        <v>27</v>
      </c>
    </row>
    <row r="2">
      <c r="A2" s="3" t="s">
        <v>284</v>
      </c>
      <c r="B2" s="3" t="s">
        <v>598</v>
      </c>
      <c r="C2" s="3" t="s">
        <v>27</v>
      </c>
      <c r="D2" s="3" t="s">
        <v>286</v>
      </c>
    </row>
    <row r="3">
      <c r="A3" s="2" t="s">
        <v>0</v>
      </c>
      <c r="B3" s="2" t="s">
        <v>287</v>
      </c>
      <c r="C3" s="2" t="s">
        <v>288</v>
      </c>
      <c r="D3" s="2" t="s">
        <v>289</v>
      </c>
    </row>
    <row r="4">
      <c r="A4" s="3" t="s">
        <v>290</v>
      </c>
      <c r="B4" s="3" t="s">
        <v>291</v>
      </c>
      <c r="C4" s="3">
        <v>5500000</v>
      </c>
      <c r="D4" s="3">
        <v>1780000</v>
      </c>
    </row>
    <row r="5">
      <c r="A5" s="3" t="s">
        <v>293</v>
      </c>
      <c r="B5" s="3" t="s">
        <v>294</v>
      </c>
      <c r="C5" s="3">
        <v>1283000</v>
      </c>
      <c r="D5" s="3" t="s">
        <v>589</v>
      </c>
    </row>
    <row r="6">
      <c r="A6" s="3" t="s">
        <v>296</v>
      </c>
      <c r="B6" s="3" t="s">
        <v>297</v>
      </c>
      <c r="C6" s="3" t="s">
        <v>599</v>
      </c>
      <c r="D6" s="3" t="s">
        <v>600</v>
      </c>
    </row>
    <row r="7">
      <c r="A7" s="3" t="s">
        <v>299</v>
      </c>
      <c r="B7" s="3" t="s">
        <v>300</v>
      </c>
      <c r="C7" s="3" t="s">
        <v>27</v>
      </c>
      <c r="D7" s="3" t="s">
        <v>27</v>
      </c>
    </row>
    <row r="8">
      <c r="A8" s="3" t="s">
        <v>301</v>
      </c>
      <c r="B8" s="3" t="s">
        <v>302</v>
      </c>
      <c r="C8" s="3" t="s">
        <v>27</v>
      </c>
      <c r="D8" s="3" t="s">
        <v>27</v>
      </c>
    </row>
    <row r="9">
      <c r="A9" s="3" t="s">
        <v>303</v>
      </c>
      <c r="B9" s="3" t="s">
        <v>304</v>
      </c>
      <c r="C9" s="3" t="s">
        <v>27</v>
      </c>
      <c r="D9" s="3" t="s">
        <v>27</v>
      </c>
    </row>
    <row r="10">
      <c r="A10" s="3" t="s">
        <v>305</v>
      </c>
      <c r="B10" s="3" t="s">
        <v>306</v>
      </c>
      <c r="C10" s="3" t="s">
        <v>27</v>
      </c>
      <c r="D10" s="3" t="s">
        <v>27</v>
      </c>
    </row>
    <row r="11">
      <c r="A11" s="3" t="s">
        <v>307</v>
      </c>
      <c r="B11" s="3" t="s">
        <v>308</v>
      </c>
      <c r="C11" s="3" t="s">
        <v>27</v>
      </c>
      <c r="D11" s="3" t="s">
        <v>27</v>
      </c>
    </row>
    <row r="12">
      <c r="A12" s="3" t="s">
        <v>309</v>
      </c>
      <c r="B12" s="3" t="s">
        <v>310</v>
      </c>
      <c r="C12" s="3" t="s">
        <v>27</v>
      </c>
      <c r="D12" s="3" t="s">
        <v>27</v>
      </c>
    </row>
    <row r="13">
      <c r="A13" s="3" t="s">
        <v>311</v>
      </c>
      <c r="B13" s="3" t="s">
        <v>312</v>
      </c>
      <c r="C13" s="3" t="s">
        <v>27</v>
      </c>
      <c r="D13" s="3" t="s">
        <v>27</v>
      </c>
    </row>
    <row r="14">
      <c r="A14" s="3" t="s">
        <v>77</v>
      </c>
      <c r="B14" s="3" t="s">
        <v>313</v>
      </c>
      <c r="C14" s="3" t="s">
        <v>601</v>
      </c>
      <c r="D14" s="3" t="s">
        <v>602</v>
      </c>
    </row>
    <row r="15">
      <c r="A15" s="3" t="s">
        <v>315</v>
      </c>
      <c r="B15" s="3" t="s">
        <v>316</v>
      </c>
      <c r="C15" s="3" t="s">
        <v>27</v>
      </c>
      <c r="D15" s="3" t="s">
        <v>27</v>
      </c>
    </row>
    <row r="16">
      <c r="A16" s="3" t="s">
        <v>317</v>
      </c>
      <c r="B16" s="3" t="s">
        <v>318</v>
      </c>
      <c r="C16" s="3" t="s">
        <v>603</v>
      </c>
      <c r="D16" s="3" t="s">
        <v>604</v>
      </c>
    </row>
    <row r="17">
      <c r="A17" s="3" t="s">
        <v>81</v>
      </c>
      <c r="B17" s="3" t="s">
        <v>320</v>
      </c>
      <c r="C17" s="3">
        <v>1447000</v>
      </c>
      <c r="D17" s="3" t="s">
        <v>605</v>
      </c>
    </row>
    <row r="18">
      <c r="A18" s="3" t="s">
        <v>322</v>
      </c>
      <c r="B18" s="3" t="s">
        <v>323</v>
      </c>
      <c r="C18" s="3" t="s">
        <v>27</v>
      </c>
      <c r="D18" s="3" t="s">
        <v>27</v>
      </c>
    </row>
    <row r="19">
      <c r="A19" s="3" t="s">
        <v>324</v>
      </c>
      <c r="B19" s="3" t="s">
        <v>325</v>
      </c>
      <c r="C19" s="3" t="s">
        <v>606</v>
      </c>
      <c r="D19" s="3" t="s">
        <v>607</v>
      </c>
    </row>
    <row r="20">
      <c r="A20" s="3" t="s">
        <v>79</v>
      </c>
      <c r="B20" s="3" t="s">
        <v>327</v>
      </c>
      <c r="C20" s="3" t="s">
        <v>608</v>
      </c>
      <c r="D20" s="3" t="s">
        <v>495</v>
      </c>
    </row>
    <row r="21">
      <c r="A21" s="3" t="s">
        <v>83</v>
      </c>
      <c r="B21" s="3" t="s">
        <v>329</v>
      </c>
      <c r="C21" s="3" t="s">
        <v>609</v>
      </c>
      <c r="D21" s="3" t="s">
        <v>610</v>
      </c>
    </row>
    <row r="22">
      <c r="A22" s="3" t="s">
        <v>331</v>
      </c>
      <c r="B22" s="3" t="s">
        <v>332</v>
      </c>
      <c r="C22" s="3" t="s">
        <v>609</v>
      </c>
      <c r="D22" s="3" t="s">
        <v>610</v>
      </c>
    </row>
    <row r="23">
      <c r="A23" s="3" t="s">
        <v>333</v>
      </c>
      <c r="B23" s="3" t="s">
        <v>334</v>
      </c>
      <c r="C23" s="3" t="s">
        <v>27</v>
      </c>
      <c r="D23" s="3" t="s">
        <v>27</v>
      </c>
    </row>
    <row r="24">
      <c r="A24" s="3" t="s">
        <v>335</v>
      </c>
      <c r="B24" s="3" t="s">
        <v>336</v>
      </c>
      <c r="C24" s="3">
        <v>1115100</v>
      </c>
      <c r="D24" s="3" t="s">
        <v>611</v>
      </c>
    </row>
    <row r="25">
      <c r="A25" s="3" t="s">
        <v>338</v>
      </c>
      <c r="B25" s="3" t="s">
        <v>339</v>
      </c>
      <c r="C25" s="3" t="s">
        <v>612</v>
      </c>
      <c r="D25" s="3" t="s">
        <v>613</v>
      </c>
    </row>
    <row r="26">
      <c r="A26" s="3" t="s">
        <v>341</v>
      </c>
      <c r="B26" s="3" t="s">
        <v>342</v>
      </c>
      <c r="C26" s="3" t="s">
        <v>27</v>
      </c>
      <c r="D26" s="3" t="s">
        <v>27</v>
      </c>
    </row>
    <row r="27">
      <c r="A27" s="3" t="s">
        <v>343</v>
      </c>
      <c r="B27" s="3" t="s">
        <v>344</v>
      </c>
      <c r="C27" s="3" t="s">
        <v>27</v>
      </c>
      <c r="D27" s="3" t="s">
        <v>27</v>
      </c>
    </row>
    <row r="28">
      <c r="A28" s="3" t="s">
        <v>345</v>
      </c>
      <c r="B28" s="3" t="s">
        <v>346</v>
      </c>
      <c r="C28" s="3" t="s">
        <v>27</v>
      </c>
      <c r="D28" s="3" t="s">
        <v>27</v>
      </c>
    </row>
    <row r="29">
      <c r="A29" s="3" t="s">
        <v>347</v>
      </c>
      <c r="B29" s="3" t="s">
        <v>348</v>
      </c>
      <c r="C29" s="3" t="s">
        <v>27</v>
      </c>
      <c r="D29" s="3" t="s">
        <v>27</v>
      </c>
    </row>
    <row r="30">
      <c r="A30" s="3" t="s">
        <v>349</v>
      </c>
      <c r="B30" s="3" t="s">
        <v>350</v>
      </c>
      <c r="C30" s="3" t="s">
        <v>27</v>
      </c>
      <c r="D30" s="3" t="s">
        <v>27</v>
      </c>
    </row>
    <row r="31">
      <c r="A31" s="3" t="s">
        <v>351</v>
      </c>
      <c r="B31" s="3" t="s">
        <v>352</v>
      </c>
      <c r="C31" s="3" t="s">
        <v>27</v>
      </c>
      <c r="D31" s="3" t="s">
        <v>27</v>
      </c>
    </row>
    <row r="32">
      <c r="A32" s="3" t="s">
        <v>353</v>
      </c>
      <c r="B32" s="3" t="s">
        <v>354</v>
      </c>
      <c r="C32" s="3" t="s">
        <v>27</v>
      </c>
      <c r="D32" s="3" t="s">
        <v>27</v>
      </c>
    </row>
    <row r="33">
      <c r="A33" s="3" t="s">
        <v>355</v>
      </c>
      <c r="B33" s="3" t="s">
        <v>356</v>
      </c>
      <c r="C33" s="3">
        <v>1159100</v>
      </c>
      <c r="D33" s="3" t="s">
        <v>614</v>
      </c>
    </row>
    <row r="34">
      <c r="A34" s="3" t="s">
        <v>358</v>
      </c>
      <c r="B34" s="3" t="s">
        <v>359</v>
      </c>
      <c r="C34" s="3" t="s">
        <v>615</v>
      </c>
      <c r="D34" s="3" t="s">
        <v>616</v>
      </c>
    </row>
    <row r="35">
      <c r="A35" s="3" t="s">
        <v>361</v>
      </c>
      <c r="B35" s="3" t="s">
        <v>362</v>
      </c>
      <c r="C35" s="3" t="s">
        <v>617</v>
      </c>
      <c r="D35" s="3" t="s">
        <v>618</v>
      </c>
    </row>
  </sheetData>
</worksheet>
</file>

<file path=xl/worksheets/sheet26.xml><?xml version="1.0" encoding="utf-8"?>
<worksheet xmlns="http://schemas.openxmlformats.org/spreadsheetml/2006/main">
  <dimension ref="A1"/>
  <sheetViews>
    <sheetView workbookViewId="0"/>
  </sheetViews>
  <cols>
    <col customWidth="true" max="4" min="1" width="22"/>
  </cols>
  <sheetData>
    <row r="1">
      <c r="A1" s="3" t="s">
        <v>364</v>
      </c>
      <c r="B1" s="3" t="s">
        <v>27</v>
      </c>
      <c r="C1" s="3" t="s">
        <v>27</v>
      </c>
      <c r="D1" s="3" t="s">
        <v>27</v>
      </c>
    </row>
    <row r="2">
      <c r="A2" s="3" t="s">
        <v>284</v>
      </c>
      <c r="B2" s="3">
        <v>46022</v>
      </c>
      <c r="C2" s="3" t="s">
        <v>27</v>
      </c>
      <c r="D2" s="3" t="s">
        <v>286</v>
      </c>
    </row>
    <row r="3">
      <c r="A3" s="2" t="s">
        <v>0</v>
      </c>
      <c r="B3" s="2" t="s">
        <v>287</v>
      </c>
      <c r="C3" s="2" t="s">
        <v>365</v>
      </c>
      <c r="D3" s="2" t="s">
        <v>366</v>
      </c>
    </row>
    <row r="4">
      <c r="A4" s="3" t="s">
        <v>96</v>
      </c>
      <c r="B4" s="3" t="s">
        <v>291</v>
      </c>
      <c r="C4" s="3">
        <v>1339000</v>
      </c>
      <c r="D4" s="3" t="s">
        <v>368</v>
      </c>
    </row>
    <row r="5">
      <c r="A5" s="3" t="s">
        <v>369</v>
      </c>
      <c r="B5" s="3" t="s">
        <v>359</v>
      </c>
      <c r="C5" s="3" t="s">
        <v>27</v>
      </c>
      <c r="D5" s="3" t="s">
        <v>27</v>
      </c>
    </row>
    <row r="6">
      <c r="A6" s="3" t="s">
        <v>370</v>
      </c>
      <c r="B6" s="3" t="s">
        <v>294</v>
      </c>
      <c r="C6" s="3" t="s">
        <v>27</v>
      </c>
      <c r="D6" s="3" t="s">
        <v>27</v>
      </c>
    </row>
    <row r="7">
      <c r="A7" s="3" t="s">
        <v>371</v>
      </c>
      <c r="B7" s="3" t="s">
        <v>362</v>
      </c>
      <c r="C7" s="3" t="s">
        <v>27</v>
      </c>
      <c r="D7" s="3" t="s">
        <v>27</v>
      </c>
    </row>
    <row r="8">
      <c r="A8" s="3" t="s">
        <v>372</v>
      </c>
      <c r="B8" s="3" t="s">
        <v>297</v>
      </c>
      <c r="C8" s="3" t="s">
        <v>27</v>
      </c>
      <c r="D8" s="3" t="s">
        <v>27</v>
      </c>
    </row>
    <row r="9">
      <c r="A9" s="3" t="s">
        <v>104</v>
      </c>
      <c r="B9" s="3" t="s">
        <v>373</v>
      </c>
      <c r="C9" s="3" t="s">
        <v>321</v>
      </c>
      <c r="D9" s="3" t="s">
        <v>328</v>
      </c>
    </row>
    <row r="10">
      <c r="A10" s="3" t="s">
        <v>98</v>
      </c>
      <c r="B10" s="3" t="s">
        <v>300</v>
      </c>
      <c r="C10" s="3" t="s">
        <v>619</v>
      </c>
      <c r="D10" s="3" t="s">
        <v>376</v>
      </c>
    </row>
    <row r="11">
      <c r="A11" s="3" t="s">
        <v>377</v>
      </c>
      <c r="B11" s="3" t="s">
        <v>378</v>
      </c>
      <c r="C11" s="3" t="s">
        <v>620</v>
      </c>
      <c r="D11" s="3" t="s">
        <v>380</v>
      </c>
    </row>
    <row r="12">
      <c r="A12" s="3" t="s">
        <v>381</v>
      </c>
      <c r="B12" s="3" t="s">
        <v>302</v>
      </c>
      <c r="C12" s="3" t="s">
        <v>379</v>
      </c>
      <c r="D12" s="3" t="s">
        <v>382</v>
      </c>
    </row>
    <row r="13">
      <c r="A13" s="3" t="s">
        <v>383</v>
      </c>
      <c r="B13" s="3" t="s">
        <v>384</v>
      </c>
      <c r="C13" s="3" t="s">
        <v>621</v>
      </c>
      <c r="D13" s="3" t="s">
        <v>314</v>
      </c>
    </row>
    <row r="14">
      <c r="A14" s="3" t="s">
        <v>386</v>
      </c>
      <c r="B14" s="3" t="s">
        <v>304</v>
      </c>
      <c r="C14" s="3" t="s">
        <v>27</v>
      </c>
      <c r="D14" s="3" t="s">
        <v>27</v>
      </c>
    </row>
    <row r="15">
      <c r="A15" s="3" t="s">
        <v>387</v>
      </c>
      <c r="B15" s="3" t="s">
        <v>388</v>
      </c>
      <c r="C15" s="3" t="s">
        <v>622</v>
      </c>
      <c r="D15" s="3" t="s">
        <v>390</v>
      </c>
    </row>
    <row r="16">
      <c r="A16" s="3" t="s">
        <v>391</v>
      </c>
      <c r="B16" s="3" t="s">
        <v>306</v>
      </c>
      <c r="C16" s="3" t="s">
        <v>27</v>
      </c>
      <c r="D16" s="3" t="s">
        <v>27</v>
      </c>
    </row>
    <row r="17">
      <c r="A17" s="3" t="s">
        <v>392</v>
      </c>
      <c r="B17" s="3" t="s">
        <v>393</v>
      </c>
      <c r="C17" s="3" t="s">
        <v>27</v>
      </c>
      <c r="D17" s="3" t="s">
        <v>27</v>
      </c>
    </row>
    <row r="18">
      <c r="A18" s="3" t="s">
        <v>394</v>
      </c>
      <c r="B18" s="3" t="s">
        <v>308</v>
      </c>
      <c r="C18" s="3" t="s">
        <v>524</v>
      </c>
      <c r="D18" s="3" t="s">
        <v>396</v>
      </c>
    </row>
    <row r="19">
      <c r="A19" s="3" t="s">
        <v>397</v>
      </c>
      <c r="B19" s="3" t="s">
        <v>398</v>
      </c>
      <c r="C19" s="3" t="s">
        <v>27</v>
      </c>
      <c r="D19" s="3" t="s">
        <v>27</v>
      </c>
    </row>
    <row r="20">
      <c r="A20" s="3" t="s">
        <v>399</v>
      </c>
      <c r="B20" s="3" t="s">
        <v>310</v>
      </c>
      <c r="C20" s="3" t="s">
        <v>27</v>
      </c>
      <c r="D20" s="3" t="s">
        <v>27</v>
      </c>
    </row>
    <row r="21">
      <c r="A21" s="3" t="s">
        <v>400</v>
      </c>
      <c r="B21" s="3" t="s">
        <v>401</v>
      </c>
      <c r="C21" s="3" t="s">
        <v>623</v>
      </c>
      <c r="D21" s="3" t="s">
        <v>403</v>
      </c>
    </row>
    <row r="22">
      <c r="A22" s="3" t="s">
        <v>404</v>
      </c>
      <c r="B22" s="3" t="s">
        <v>312</v>
      </c>
      <c r="C22" s="3" t="s">
        <v>27</v>
      </c>
      <c r="D22" s="3" t="s">
        <v>27</v>
      </c>
    </row>
    <row r="23">
      <c r="A23" s="3" t="s">
        <v>405</v>
      </c>
      <c r="B23" s="3" t="s">
        <v>406</v>
      </c>
      <c r="C23" s="3" t="s">
        <v>27</v>
      </c>
      <c r="D23" s="3" t="s">
        <v>27</v>
      </c>
    </row>
    <row r="24">
      <c r="A24" s="3" t="s">
        <v>407</v>
      </c>
      <c r="B24" s="3" t="s">
        <v>313</v>
      </c>
      <c r="C24" s="3" t="s">
        <v>27</v>
      </c>
      <c r="D24" s="3" t="s">
        <v>27</v>
      </c>
    </row>
    <row r="25">
      <c r="A25" s="3" t="s">
        <v>106</v>
      </c>
      <c r="B25" s="3" t="s">
        <v>408</v>
      </c>
      <c r="C25" s="3" t="s">
        <v>624</v>
      </c>
      <c r="D25" s="3" t="s">
        <v>27</v>
      </c>
    </row>
    <row r="26">
      <c r="A26" s="3" t="s">
        <v>410</v>
      </c>
      <c r="B26" s="3" t="s">
        <v>316</v>
      </c>
      <c r="C26" s="3" t="s">
        <v>27</v>
      </c>
      <c r="D26" s="3" t="s">
        <v>27</v>
      </c>
    </row>
    <row r="27">
      <c r="A27" s="3" t="s">
        <v>411</v>
      </c>
      <c r="B27" s="3" t="s">
        <v>318</v>
      </c>
      <c r="C27" s="3" t="s">
        <v>27</v>
      </c>
      <c r="D27" s="3" t="s">
        <v>27</v>
      </c>
    </row>
    <row r="28">
      <c r="A28" s="3" t="s">
        <v>412</v>
      </c>
      <c r="B28" s="3" t="s">
        <v>413</v>
      </c>
      <c r="C28" s="3" t="s">
        <v>414</v>
      </c>
      <c r="D28" s="3" t="s">
        <v>414</v>
      </c>
    </row>
    <row r="29">
      <c r="A29" s="3" t="s">
        <v>415</v>
      </c>
      <c r="B29" s="3" t="s">
        <v>320</v>
      </c>
      <c r="C29" s="3" t="s">
        <v>625</v>
      </c>
      <c r="D29" s="3" t="s">
        <v>390</v>
      </c>
    </row>
    <row r="30">
      <c r="A30" s="3" t="s">
        <v>417</v>
      </c>
      <c r="B30" s="3" t="s">
        <v>418</v>
      </c>
      <c r="C30" s="3" t="s">
        <v>27</v>
      </c>
      <c r="D30" s="3" t="s">
        <v>27</v>
      </c>
    </row>
    <row r="31">
      <c r="A31" s="3" t="s">
        <v>100</v>
      </c>
      <c r="B31" s="3" t="s">
        <v>323</v>
      </c>
      <c r="C31" s="3">
        <v>2070000</v>
      </c>
      <c r="D31" s="3" t="s">
        <v>27</v>
      </c>
    </row>
    <row r="32">
      <c r="A32" s="3" t="s">
        <v>419</v>
      </c>
      <c r="B32" s="3" t="s">
        <v>420</v>
      </c>
      <c r="C32" s="3" t="s">
        <v>454</v>
      </c>
      <c r="D32" s="3" t="s">
        <v>395</v>
      </c>
    </row>
    <row r="33">
      <c r="A33" s="3" t="s">
        <v>422</v>
      </c>
      <c r="B33" s="3" t="s">
        <v>423</v>
      </c>
      <c r="C33" s="3" t="s">
        <v>27</v>
      </c>
      <c r="D33" s="3" t="s">
        <v>27</v>
      </c>
    </row>
    <row r="34">
      <c r="A34" s="3" t="s">
        <v>424</v>
      </c>
      <c r="B34" s="3" t="s">
        <v>325</v>
      </c>
      <c r="C34" s="3" t="s">
        <v>27</v>
      </c>
      <c r="D34" s="3" t="s">
        <v>27</v>
      </c>
    </row>
    <row r="35">
      <c r="A35" s="3" t="s">
        <v>425</v>
      </c>
      <c r="B35" s="3" t="s">
        <v>426</v>
      </c>
      <c r="C35" s="3" t="s">
        <v>626</v>
      </c>
      <c r="D35" s="3" t="s">
        <v>27</v>
      </c>
    </row>
    <row r="36">
      <c r="A36" s="3" t="s">
        <v>428</v>
      </c>
      <c r="B36" s="3" t="s">
        <v>327</v>
      </c>
      <c r="C36" s="3" t="s">
        <v>27</v>
      </c>
      <c r="D36" s="3" t="s">
        <v>27</v>
      </c>
    </row>
    <row r="37">
      <c r="A37" s="3" t="s">
        <v>108</v>
      </c>
      <c r="B37" s="3" t="s">
        <v>429</v>
      </c>
      <c r="C37" s="3">
        <v>1308000</v>
      </c>
      <c r="D37" s="3" t="s">
        <v>27</v>
      </c>
    </row>
    <row r="38">
      <c r="A38" s="3" t="s">
        <v>430</v>
      </c>
      <c r="B38" s="3" t="s">
        <v>329</v>
      </c>
      <c r="C38" s="3">
        <v>1230000</v>
      </c>
      <c r="D38" s="3" t="s">
        <v>432</v>
      </c>
    </row>
    <row r="39">
      <c r="A39" s="3" t="s">
        <v>433</v>
      </c>
      <c r="B39" s="3" t="s">
        <v>332</v>
      </c>
      <c r="C39" s="3" t="s">
        <v>627</v>
      </c>
      <c r="D39" s="3" t="s">
        <v>374</v>
      </c>
    </row>
    <row r="40">
      <c r="A40" s="3" t="s">
        <v>435</v>
      </c>
      <c r="B40" s="3" t="s">
        <v>334</v>
      </c>
      <c r="C40" s="3" t="s">
        <v>466</v>
      </c>
      <c r="D40" s="3" t="s">
        <v>27</v>
      </c>
    </row>
    <row r="41">
      <c r="A41" s="3" t="s">
        <v>437</v>
      </c>
      <c r="B41" s="3" t="s">
        <v>336</v>
      </c>
      <c r="C41" s="3" t="s">
        <v>27</v>
      </c>
      <c r="D41" s="3" t="s">
        <v>27</v>
      </c>
    </row>
    <row r="42">
      <c r="A42" s="3" t="s">
        <v>438</v>
      </c>
      <c r="B42" s="3" t="s">
        <v>339</v>
      </c>
      <c r="C42" s="3" t="s">
        <v>27</v>
      </c>
      <c r="D42" s="3" t="s">
        <v>27</v>
      </c>
    </row>
    <row r="43">
      <c r="A43" s="3" t="s">
        <v>439</v>
      </c>
      <c r="B43" s="3" t="s">
        <v>342</v>
      </c>
      <c r="C43" s="3" t="s">
        <v>27</v>
      </c>
      <c r="D43" s="3" t="s">
        <v>27</v>
      </c>
    </row>
    <row r="44">
      <c r="A44" s="3" t="s">
        <v>440</v>
      </c>
      <c r="B44" s="3" t="s">
        <v>344</v>
      </c>
      <c r="C44" s="3" t="s">
        <v>27</v>
      </c>
      <c r="D44" s="3" t="s">
        <v>27</v>
      </c>
    </row>
    <row r="45">
      <c r="A45" s="3" t="s">
        <v>441</v>
      </c>
      <c r="B45" s="3" t="s">
        <v>346</v>
      </c>
      <c r="C45" s="3" t="s">
        <v>469</v>
      </c>
      <c r="D45" s="3" t="s">
        <v>443</v>
      </c>
    </row>
    <row r="46">
      <c r="A46" s="3" t="s">
        <v>444</v>
      </c>
      <c r="B46" s="3" t="s">
        <v>445</v>
      </c>
      <c r="C46" s="3">
        <v>1050000</v>
      </c>
      <c r="D46" s="3" t="s">
        <v>446</v>
      </c>
    </row>
    <row r="47">
      <c r="A47" s="3" t="s">
        <v>447</v>
      </c>
      <c r="B47" s="3" t="s">
        <v>348</v>
      </c>
      <c r="C47" s="3" t="s">
        <v>27</v>
      </c>
      <c r="D47" s="3" t="s">
        <v>27</v>
      </c>
    </row>
    <row r="48">
      <c r="A48" s="3" t="s">
        <v>448</v>
      </c>
      <c r="B48" s="3" t="s">
        <v>449</v>
      </c>
      <c r="C48" s="3" t="s">
        <v>450</v>
      </c>
      <c r="D48" s="3" t="s">
        <v>450</v>
      </c>
    </row>
    <row r="49">
      <c r="A49" s="3" t="s">
        <v>451</v>
      </c>
      <c r="B49" s="3" t="s">
        <v>350</v>
      </c>
      <c r="C49" s="3" t="s">
        <v>27</v>
      </c>
      <c r="D49" s="3" t="s">
        <v>27</v>
      </c>
    </row>
    <row r="50">
      <c r="A50" s="3" t="s">
        <v>452</v>
      </c>
      <c r="B50" s="3" t="s">
        <v>453</v>
      </c>
      <c r="C50" s="3" t="s">
        <v>454</v>
      </c>
      <c r="D50" s="3" t="s">
        <v>454</v>
      </c>
    </row>
    <row r="51">
      <c r="A51" s="3" t="s">
        <v>455</v>
      </c>
      <c r="B51" s="3" t="s">
        <v>352</v>
      </c>
      <c r="C51" s="3" t="s">
        <v>628</v>
      </c>
      <c r="D51" s="3" t="s">
        <v>456</v>
      </c>
    </row>
    <row r="52">
      <c r="A52" s="3" t="s">
        <v>457</v>
      </c>
      <c r="B52" s="3" t="s">
        <v>458</v>
      </c>
      <c r="C52" s="3" t="s">
        <v>527</v>
      </c>
      <c r="D52" s="3" t="s">
        <v>27</v>
      </c>
    </row>
    <row r="53">
      <c r="A53" s="3" t="s">
        <v>459</v>
      </c>
      <c r="B53" s="3" t="s">
        <v>354</v>
      </c>
      <c r="C53" s="3">
        <v>1128000</v>
      </c>
      <c r="D53" s="3" t="s">
        <v>27</v>
      </c>
    </row>
    <row r="54">
      <c r="A54" s="3" t="s">
        <v>110</v>
      </c>
      <c r="B54" s="3" t="s">
        <v>461</v>
      </c>
      <c r="C54" s="3">
        <v>1890000</v>
      </c>
      <c r="D54" s="3" t="s">
        <v>27</v>
      </c>
    </row>
    <row r="55">
      <c r="A55" s="3" t="s">
        <v>102</v>
      </c>
      <c r="B55" s="3" t="s">
        <v>356</v>
      </c>
      <c r="C55" s="3">
        <v>3198000</v>
      </c>
      <c r="D55" s="3" t="s">
        <v>27</v>
      </c>
    </row>
    <row r="56">
      <c r="A56" s="3" t="s">
        <v>462</v>
      </c>
      <c r="B56" s="3" t="s">
        <v>463</v>
      </c>
      <c r="C56" s="3">
        <v>3198000</v>
      </c>
      <c r="D56" s="3" t="s">
        <v>27</v>
      </c>
    </row>
  </sheetData>
</worksheet>
</file>

<file path=xl/worksheets/sheet27.xml><?xml version="1.0" encoding="utf-8"?>
<worksheet xmlns="http://schemas.openxmlformats.org/spreadsheetml/2006/main">
  <dimension ref="A1"/>
  <sheetViews>
    <sheetView tabSelected="true" workbookViewId="0"/>
  </sheetViews>
  <cols>
    <col customWidth="true" max="4" min="1" width="22"/>
  </cols>
  <sheetData>
    <row r="1">
      <c r="A1" s="3" t="s">
        <v>464</v>
      </c>
      <c r="B1" s="3" t="s">
        <v>27</v>
      </c>
      <c r="C1" s="3" t="s">
        <v>27</v>
      </c>
      <c r="D1" s="3" t="s">
        <v>27</v>
      </c>
    </row>
    <row r="2">
      <c r="A2" s="3" t="s">
        <v>284</v>
      </c>
      <c r="B2" s="3" t="s">
        <v>598</v>
      </c>
      <c r="C2" s="3" t="s">
        <v>27</v>
      </c>
      <c r="D2" s="3" t="s">
        <v>286</v>
      </c>
    </row>
    <row r="3">
      <c r="A3" s="2" t="s">
        <v>0</v>
      </c>
      <c r="B3" s="2" t="s">
        <v>287</v>
      </c>
      <c r="C3" s="2" t="s">
        <v>289</v>
      </c>
      <c r="D3" s="2" t="s">
        <v>288</v>
      </c>
    </row>
    <row r="4">
      <c r="A4" s="3" t="s">
        <v>465</v>
      </c>
      <c r="B4" s="3" t="s">
        <v>291</v>
      </c>
      <c r="C4" s="3">
        <v>1755000</v>
      </c>
      <c r="D4" s="3">
        <v>5295000</v>
      </c>
    </row>
    <row r="5">
      <c r="A5" s="3" t="s">
        <v>467</v>
      </c>
      <c r="B5" s="3" t="s">
        <v>294</v>
      </c>
      <c r="C5" s="3" t="s">
        <v>629</v>
      </c>
      <c r="D5" s="3" t="s">
        <v>630</v>
      </c>
    </row>
    <row r="6">
      <c r="A6" s="3" t="s">
        <v>468</v>
      </c>
      <c r="B6" s="3" t="s">
        <v>297</v>
      </c>
      <c r="C6" s="3" t="s">
        <v>631</v>
      </c>
      <c r="D6" s="3">
        <v>1102000</v>
      </c>
    </row>
    <row r="7">
      <c r="A7" s="3" t="s">
        <v>470</v>
      </c>
      <c r="B7" s="3" t="s">
        <v>300</v>
      </c>
      <c r="C7" s="3" t="s">
        <v>632</v>
      </c>
      <c r="D7" s="3">
        <v>1674000</v>
      </c>
    </row>
    <row r="8">
      <c r="A8" s="3" t="s">
        <v>471</v>
      </c>
      <c r="B8" s="3" t="s">
        <v>302</v>
      </c>
      <c r="C8" s="3" t="s">
        <v>525</v>
      </c>
      <c r="D8" s="3" t="s">
        <v>633</v>
      </c>
    </row>
    <row r="9">
      <c r="A9" s="3" t="s">
        <v>473</v>
      </c>
      <c r="B9" s="3" t="s">
        <v>304</v>
      </c>
      <c r="C9" s="3" t="s">
        <v>634</v>
      </c>
      <c r="D9" s="3">
        <v>1559000</v>
      </c>
    </row>
    <row r="10">
      <c r="A10" s="3" t="s">
        <v>475</v>
      </c>
      <c r="B10" s="3" t="s">
        <v>306</v>
      </c>
      <c r="C10" s="3" t="s">
        <v>540</v>
      </c>
      <c r="D10" s="3">
        <v>1105000</v>
      </c>
    </row>
    <row r="11">
      <c r="A11" s="3" t="s">
        <v>476</v>
      </c>
      <c r="B11" s="3" t="s">
        <v>308</v>
      </c>
      <c r="C11" s="3" t="s">
        <v>27</v>
      </c>
      <c r="D11" s="3" t="s">
        <v>27</v>
      </c>
    </row>
    <row r="12">
      <c r="A12" s="3" t="s">
        <v>477</v>
      </c>
      <c r="B12" s="3" t="s">
        <v>310</v>
      </c>
      <c r="C12" s="3" t="s">
        <v>27</v>
      </c>
      <c r="D12" s="3" t="s">
        <v>27</v>
      </c>
    </row>
    <row r="13">
      <c r="A13" s="3" t="s">
        <v>478</v>
      </c>
      <c r="B13" s="3" t="s">
        <v>312</v>
      </c>
      <c r="C13" s="3" t="s">
        <v>27</v>
      </c>
      <c r="D13" s="3" t="s">
        <v>27</v>
      </c>
    </row>
    <row r="14">
      <c r="A14" s="3" t="s">
        <v>479</v>
      </c>
      <c r="B14" s="3" t="s">
        <v>313</v>
      </c>
      <c r="C14" s="3" t="s">
        <v>27</v>
      </c>
      <c r="D14" s="3" t="s">
        <v>27</v>
      </c>
    </row>
    <row r="15">
      <c r="A15" s="3" t="s">
        <v>480</v>
      </c>
      <c r="B15" s="3" t="s">
        <v>316</v>
      </c>
      <c r="C15" s="3" t="s">
        <v>635</v>
      </c>
      <c r="D15" s="3" t="s">
        <v>368</v>
      </c>
    </row>
    <row r="16">
      <c r="A16" s="3" t="s">
        <v>482</v>
      </c>
      <c r="B16" s="3" t="s">
        <v>318</v>
      </c>
      <c r="C16" s="3">
        <v>-150000</v>
      </c>
      <c r="D16" s="3">
        <v>-450000</v>
      </c>
    </row>
    <row r="17">
      <c r="A17" s="3" t="s">
        <v>483</v>
      </c>
      <c r="B17" s="3" t="s">
        <v>320</v>
      </c>
      <c r="C17" s="3" t="s">
        <v>27</v>
      </c>
      <c r="D17" s="3" t="s">
        <v>27</v>
      </c>
    </row>
    <row r="18">
      <c r="A18" s="3" t="s">
        <v>484</v>
      </c>
      <c r="B18" s="3" t="s">
        <v>323</v>
      </c>
      <c r="C18" s="3" t="s">
        <v>27</v>
      </c>
      <c r="D18" s="3" t="s">
        <v>485</v>
      </c>
    </row>
    <row r="19">
      <c r="A19" s="3" t="s">
        <v>486</v>
      </c>
      <c r="B19" s="3" t="s">
        <v>325</v>
      </c>
      <c r="C19" s="3" t="s">
        <v>27</v>
      </c>
      <c r="D19" s="3" t="s">
        <v>27</v>
      </c>
    </row>
    <row r="20">
      <c r="A20" s="3" t="s">
        <v>487</v>
      </c>
      <c r="B20" s="3" t="s">
        <v>327</v>
      </c>
      <c r="C20" s="3" t="s">
        <v>593</v>
      </c>
      <c r="D20" s="3" t="s">
        <v>636</v>
      </c>
    </row>
    <row r="21">
      <c r="A21" s="3" t="s">
        <v>488</v>
      </c>
      <c r="B21" s="3" t="s">
        <v>329</v>
      </c>
      <c r="C21" s="3" t="s">
        <v>27</v>
      </c>
      <c r="D21" s="3" t="s">
        <v>27</v>
      </c>
    </row>
    <row r="22">
      <c r="A22" s="3" t="s">
        <v>489</v>
      </c>
      <c r="B22" s="3" t="s">
        <v>332</v>
      </c>
      <c r="C22" s="3">
        <v>-5000</v>
      </c>
      <c r="D22" s="3" t="s">
        <v>637</v>
      </c>
    </row>
    <row r="23">
      <c r="A23" s="3" t="s">
        <v>490</v>
      </c>
      <c r="B23" s="3" t="s">
        <v>334</v>
      </c>
      <c r="C23" s="3" t="s">
        <v>638</v>
      </c>
      <c r="D23" s="3" t="s">
        <v>639</v>
      </c>
    </row>
    <row r="24">
      <c r="A24" s="3" t="s">
        <v>492</v>
      </c>
      <c r="B24" s="3" t="s">
        <v>336</v>
      </c>
      <c r="C24" s="3">
        <v>1111000</v>
      </c>
      <c r="D24" s="3" t="s">
        <v>368</v>
      </c>
    </row>
    <row r="25">
      <c r="A25" s="3" t="s">
        <v>124</v>
      </c>
      <c r="B25" s="3" t="s">
        <v>339</v>
      </c>
      <c r="C25" s="3">
        <v>1339000</v>
      </c>
      <c r="D25" s="3">
        <v>1339000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